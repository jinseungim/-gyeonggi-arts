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140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OneDrive\바탕 화면\2026 교무기획부\10 신입학\내신산출프로그램(2027)\"/>
    </mc:Choice>
  </mc:AlternateContent>
  <x:bookViews>
    <x:workbookView xWindow="0" yWindow="0" windowWidth="22788" windowHeight="8112" tabRatio="500" activeTab="2"/>
  </x:bookViews>
  <x:sheets>
    <x:sheet name="음악연영" sheetId="1" r:id="rId4"/>
    <x:sheet name="미술" sheetId="2" r:id="rId5"/>
    <x:sheet name="만화애니" sheetId="3" r:id="rId6"/>
    <x:sheet name="Sheet2" sheetId="4" state="hidden" r:id="rId7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<x:sst xmlns:r="http://schemas.openxmlformats.org/officeDocument/2006/relationships" xmlns:c="http://schemas.openxmlformats.org/drawingml/2006/chart" xmlns:x="http://schemas.openxmlformats.org/spreadsheetml/2006/main" count="167" uniqueCount="53">
  <x:si>
    <x:r>
      <x:t xml:space="preserve">*  </x:t>
    </x:r>
    <x:r>
      <x:rPr>
        <x:rFont val="돋움"/>
        <x:sz val="10"/>
        <x:color rgb="ff000000"/>
        <x:b val="1"/>
      </x:rPr>
      <x:t>1) 성취도</x:t>
    </x:r>
    <x:r>
      <x:rPr>
        <x:rFont val="돋움"/>
        <x:sz val="10"/>
        <x:color rgb="ff000000"/>
      </x:rPr>
      <x:t xml:space="preserve"> : 과목별 성취도 기재</x:t>
    </x:r>
  </x:si>
  <x:si>
    <x:r>
      <x:t xml:space="preserve">*  </x:t>
    </x:r>
    <x:r>
      <x:rPr>
        <x:rFont val="돋움"/>
        <x:sz val="10"/>
        <x:color rgb="ff000000"/>
        <x:b val="1"/>
      </x:rPr>
      <x:t>노란색 계열 부분</x:t>
    </x:r>
    <x:r>
      <x:rPr>
        <x:rFont val="돋움"/>
        <x:sz val="10"/>
        <x:color rgb="ff000000"/>
      </x:rPr>
      <x:t>만 입력하시면 됩니다.</x:t>
    </x:r>
  </x:si>
  <x:si>
    <x:r>
      <x:t>*  5</x:t>
    </x:r>
    <x:r>
      <x:rPr>
        <x:rFont val="돋움"/>
        <x:sz val="10"/>
        <x:color rgb="ff000000"/>
        <x:b val="1"/>
      </x:rPr>
      <x:t>) 기준시수</x:t>
    </x:r>
    <x:r>
      <x:rPr>
        <x:rFont val="돋움"/>
        <x:sz val="10"/>
        <x:color rgb="ff000000"/>
      </x:rPr>
      <x:t xml:space="preserve"> : 본교 적용 봉사활동 기준시수</x:t>
    </x:r>
  </x:si>
  <x:si>
    <x:r>
      <x:t>*  4</x:t>
    </x:r>
    <x:r>
      <x:rPr>
        <x:rFont val="돋움"/>
        <x:sz val="10"/>
        <x:color rgb="ff000000"/>
        <x:b val="1"/>
      </x:rPr>
      <x:t>) 미인정결석 일수</x:t>
    </x:r>
    <x:r>
      <x:rPr>
        <x:rFont val="돋움"/>
        <x:sz val="10"/>
        <x:color rgb="ff000000"/>
      </x:rPr>
      <x:t xml:space="preserve"> : 3년동안 미인정결석한 일수를 기재 (재학생은 9월30일까지 기준)</x:t>
    </x:r>
  </x:si>
  <x:si>
    <x:t xml:space="preserve">     성취도 점수(예체능) : A:10, B:9, C:8 (성취도 입력하면 자동계산됨)</x:t>
  </x:si>
  <x:si>
    <x:t>교과 점수
(국영수사과)</x:t>
  </x:si>
  <x:si>
    <x:t xml:space="preserve">환산 평균
(국영수사과) </x:t>
  </x:si>
  <x:si>
    <x:t>3) 미인정지각 등 횟수</x:t>
  </x:si>
  <x:si>
    <x:r>
      <x:t xml:space="preserve">*  </x:t>
    </x:r>
    <x:r>
      <x:rPr>
        <x:rFont val="돋움"/>
        <x:sz val="10"/>
        <x:color rgb="ff000000"/>
        <x:b val="1"/>
      </x:rPr>
      <x:t>2) 성취도 점수(국영수사과) : A:5, B:4, C:3, D:2, E:1 (성취도 입력하면 자동계산됨)</x:t>
    </x:r>
  </x:si>
  <x:si>
    <x:t/>
  </x:si>
  <x:si>
    <x:t>만애</x:t>
  </x:si>
  <x:si>
    <x:t>수학</x:t>
  </x:si>
  <x:si>
    <x:t>소계</x:t>
  </x:si>
  <x:si>
    <x:t>체육</x:t>
  </x:si>
  <x:si>
    <x:t>음악</x:t>
  </x:si>
  <x:si>
    <x:t>영어</x:t>
  </x:si>
  <x:si>
    <x:t>결석일</x:t>
  </x:si>
  <x:si>
    <x:t>구분</x:t>
  </x:si>
  <x:si>
    <x:t>국어</x:t>
  </x:si>
  <x:si>
    <x:t>미술</x:t>
  </x:si>
  <x:si>
    <x:t>과학</x:t>
  </x:si>
  <x:si>
    <x:t>급간</x:t>
  </x:si>
  <x:si>
    <x:t>학기</x:t>
  </x:si>
  <x:si>
    <x:r>
      <x:t>*  3</x:t>
    </x:r>
    <x:r>
      <x:rPr>
        <x:rFont val="돋움"/>
        <x:sz val="10"/>
        <x:color rgb="ff000000"/>
        <x:b val="1"/>
      </x:rPr>
      <x:t>) 미인정지각 등 회수</x:t>
    </x:r>
    <x:r>
      <x:rPr>
        <x:rFont val="돋움"/>
        <x:sz val="10"/>
        <x:color rgb="ff000000"/>
      </x:rPr>
      <x:t xml:space="preserve"> : 3년동안 미인정지각, 미인정조퇴, 미인정결과 횟수를 기재 (재학생은 9월30일까지 기준)</x:t>
    </x:r>
  </x:si>
  <x:si>
    <x:t>내신
성적</x:t>
  </x:si>
  <x:si>
    <x:t>출석점수</x:t>
  </x:si>
  <x:si>
    <x:t>3학년
1학기</x:t>
  </x:si>
  <x:si>
    <x:t>교과 점수</x:t>
  </x:si>
  <x:si>
    <x:t>5) 기준시수</x:t>
  </x:si>
  <x:si>
    <x:t>봉사 점수</x:t>
  </x:si>
  <x:si>
    <x:t>출결 점수</x:t>
  </x:si>
  <x:si>
    <x:t>봉사시간</x:t>
  </x:si>
  <x:si>
    <x:t>교과점수합</x:t>
  </x:si>
  <x:si>
    <x:t>2)성취도점수</x:t>
  </x:si>
  <x:si>
    <x:t>6) 실시시수</x:t>
  </x:si>
  <x:si>
    <x:t>결석환산
일수</x:t>
  </x:si>
  <x:si>
    <x:t>출결점수</x:t>
  </x:si>
  <x:si>
    <x:t>봉사점수</x:t>
  </x:si>
  <x:si>
    <x:t>2학년
2학기</x:t>
  </x:si>
  <x:si>
    <x:t>음악연영</x:t>
  </x:si>
  <x:si>
    <x:t>사회/역사</x:t>
  </x:si>
  <x:si>
    <x:t>2학년
1학기</x:t>
  </x:si>
  <x:si>
    <x:t>1)성취도</x:t>
  </x:si>
  <x:si>
    <x:t>교과점수
(예체능)</x:t>
  </x:si>
  <x:si>
    <x:t>&lt; 출결점수 &gt;</x:t>
  </x:si>
  <x:si>
    <x:t>&lt; 교과점수 &gt;</x:t>
  </x:si>
  <x:si>
    <x:t>4) 미인정결석 일수</x:t>
  </x:si>
  <x:si>
    <x:t>&lt; 봉사점수 &gt;</x:t>
  </x:si>
  <x:si>
    <x:r>
      <x:t>*  6</x:t>
    </x:r>
    <x:r>
      <x:rPr>
        <x:rFont val="돋움"/>
        <x:sz val="10"/>
        <x:color rgb="ff000000"/>
        <x:b val="1"/>
      </x:rPr>
      <x:t>) 실시시수</x:t>
    </x:r>
    <x:r>
      <x:rPr>
        <x:rFont val="돋움"/>
        <x:sz val="10"/>
        <x:color rgb="ff000000"/>
      </x:rPr>
      <x:t xml:space="preserve"> : 3년동안 실시한 봉사활동 시수 기재 (재학생은 9월 30일까지 기준)</x:t>
    </x:r>
  </x:si>
  <x:si>
    <x:t>1학년
2학기</x:t>
  </x:si>
  <x:si>
    <x:t>음악과/연극영화과 교과 점수 계산 (졸업예정자)</x:t>
  </x:si>
  <x:si>
    <x:t>만화애니과 교과 점수 계산 (졸업예정자)</x:t>
  </x:si>
  <x:si>
    <x:t>미술과 교과 점수 계산 (졸업예정자)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</x:si>
</x:sst>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0.000_ "/>
  </x:numFmts>
  <x:fonts count="13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돋움"/>
      <x:sz val="11"/>
      <x:color rgb="ff000000"/>
    </x:font>
    <x:font>
      <x:name val="돋움"/>
      <x:sz val="10"/>
      <x:color rgb="ff000000"/>
      <x:b val="1"/>
    </x:font>
    <x:font>
      <x:name val="돋움"/>
      <x:sz val="10"/>
      <x:color rgb="ff000000"/>
    </x:font>
    <x:font>
      <x:name val="돋움"/>
      <x:sz val="9"/>
      <x:color rgb="ff000000"/>
      <x:b val="1"/>
    </x:font>
    <x:font>
      <x:name val="맑은 고딕"/>
      <x:sz val="10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6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돋움"/>
          <x:sz val="16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000000"/>
          <x:b val="1"/>
        </x:font>
      </mc:Fallback>
    </mc:AlternateContent>
  </x:fonts>
  <x:fills count="6">
    <x:fill>
      <x:patternFill patternType="none"/>
    </x:fill>
    <x:fill>
      <x:patternFill patternType="gray125"/>
    </x:fill>
    <x:fill>
      <x:patternFill patternType="solid">
        <x:fgColor rgb="ffffff99"/>
        <x:bgColor indexed="64"/>
      </x:patternFill>
    </x:fill>
    <x:fill>
      <x:patternFill patternType="solid">
        <x:fgColor rgb="ffff99cc"/>
        <x:bgColor indexed="64"/>
      </x:patternFill>
    </x:fill>
    <x:fill>
      <x:patternFill patternType="solid">
        <x:fgColor rgb="ffff00ff"/>
        <x:bgColor indexed="64"/>
      </x:patternFill>
    </x:fill>
    <x:fill>
      <x:patternFill patternType="solid">
        <x:fgColor rgb="ffc1d6ed"/>
        <x:bgColor indexed="64"/>
      </x:patternFill>
    </x:fill>
  </x:fills>
  <x:borders count="4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double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double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double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>
        <x:color auto="1"/>
      </x:left>
      <x:right style="medium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double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double">
        <x:color auto="1"/>
      </x:top>
      <x:bottom style="medium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double">
        <x:color auto="1"/>
      </x:bottom>
    </x:border>
    <x:border>
      <x:left style="medium">
        <x:color auto="1"/>
      </x:left>
      <x:right style="medium">
        <x:color auto="1"/>
      </x:right>
      <x:top style="double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double"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 style="double">
        <x:color auto="1"/>
      </x:top>
      <x:bottom style="medium">
        <x:color auto="1"/>
      </x:bottom>
    </x:border>
    <x:border>
      <x:left style="medium">
        <x:color auto="1"/>
      </x:left>
      <x:right style="medium">
        <x:color auto="1"/>
      </x:right>
      <x:top style="double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double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74">
    <x:xf numFmtId="0" fontId="0" fillId="0" borderId="0" xfId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0" xfId="0" applyNumberFormat="1" applyFont="1" applyFill="1" applyBorder="1" applyAlignment="1" applyProtection="1" hs:applyExtension="1">
          <x:alignment horizontal="center" vertical="center" wrapText="1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NumberFormat="1" applyFont="1" applyFill="1" applyBorder="1" applyAlignment="1" applyProtection="1">
          <x:alignment horizontal="center" vertical="center" wrapText="1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4" hs:breakNonLatinWord="breakWord" hs:breakLatinWord="keepWord" hs:condense="0" hs:textAlignment="baseLine"/>
        </x:xf>
      </mc:Choice>
      <mc:Fallback>
        <x:xf numFmtId="0" fontId="7" fillId="0" borderId="1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4" hs:breakNonLatinWord="breakWord" hs:breakLatinWord="keepWord" hs:condense="0" hs:textAlignment="baseLine"/>
        </x:xf>
      </mc:Choice>
      <mc:Fallback>
        <x:xf numFmtId="0" fontId="7" fillId="0" borderId="2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4" hs:breakNonLatinWord="breakWord" hs:breakLatinWord="keepWord" hs:condense="0" hs:textAlignment="baseLine"/>
        </x:xf>
      </mc:Choice>
      <mc:Fallback>
        <x:xf numFmtId="0" fontId="7" fillId="0" borderId="3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4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4" hs:breakNonLatinWord="breakWord" hs:breakLatinWord="keepWord" hs:condense="0" hs:textAlignment="baseLine"/>
        </x:xf>
      </mc:Choice>
      <mc:Fallback>
        <x:xf numFmtId="0" fontId="7" fillId="0" borderId="4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5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4" hs:breakNonLatinWord="breakWord" hs:breakLatinWord="keepWord" hs:condense="0" hs:textAlignment="baseLine"/>
        </x:xf>
      </mc:Choice>
      <mc:Fallback>
        <x:xf numFmtId="0" fontId="7" fillId="0" borderId="5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6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4" hs:breakNonLatinWord="breakWord" hs:breakLatinWord="keepWord" hs:condense="0" hs:textAlignment="baseLine"/>
        </x:xf>
      </mc:Choice>
      <mc:Fallback>
        <x:xf numFmtId="0" fontId="7" fillId="0" borderId="6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7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7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8" xfId="0" applyNumberFormat="1" applyFont="1" applyFill="1" applyBorder="1" applyAlignment="1" applyProtection="1" hs:applyExtension="1">
          <x:alignment horizontal="center" vertical="center" shrinkToFit="1"/>
          <x:protection locked="0"/>
          <hs:parashape hs:lineSpacingType="betweenLines" hs:lineSpacing="1200" hs:breakNonLatinWord="breakWord" hs:breakLatinWord="keepWord" hs:condense="0" hs:textAlignment="baseLine"/>
        </x:xf>
      </mc:Choice>
      <mc:Fallback>
        <x:xf numFmtId="0" fontId="8" fillId="2" borderId="8" xfId="0" applyNumberFormat="1" applyFont="1" applyFill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9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1200" hs:breakNonLatinWord="breakWord" hs:breakLatinWord="keepWord" hs:condense="0" hs:textAlignment="baseLine"/>
        </x:xf>
      </mc:Choice>
      <mc:Fallback>
        <x:xf numFmtId="0" fontId="8" fillId="0" borderId="9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0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0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1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1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2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2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3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3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4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4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5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5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6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1200" hs:breakNonLatinWord="breakWord" hs:breakLatinWord="keepWord" hs:condense="0" hs:textAlignment="baseLine"/>
        </x:xf>
      </mc:Choice>
      <mc:Fallback>
        <x:xf numFmtId="0" fontId="8" fillId="0" borderId="16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0" xfId="0" applyNumberFormat="1" applyFont="1" applyFill="1" applyBorder="1" applyAlignment="1" applyProtection="1" hs:applyExtension="1">
          <x:alignment horizontal="center" vertical="center" wrapText="1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0" applyNumberFormat="1" applyFont="1" applyFill="1" applyBorder="1" applyAlignment="1" applyProtection="1">
          <x:alignment horizontal="center" vertical="center" wrapText="1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7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7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8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8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8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4" hs:breakNonLatinWord="breakWord" hs:breakLatinWord="keepWord" hs:condense="0" hs:textAlignment="baseLine"/>
        </x:xf>
      </mc:Choice>
      <mc:Fallback>
        <x:xf numFmtId="0" fontId="9" fillId="0" borderId="18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8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8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8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8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8" fillId="0" borderId="19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8" fillId="0" borderId="19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20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20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8" fillId="0" borderId="21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8" fillId="0" borderId="21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8" fillId="3" borderId="20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8" fillId="3" borderId="20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22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22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3" borderId="20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20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3" borderId="21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21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4" borderId="23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4" borderId="23" xfId="0" applyNumberFormat="1" applyFont="1" applyFill="1" applyBorder="1" applyAlignment="1" applyProtection="1">
          <x:alignment horizontal="center" vertical="center" wrapText="1" shrinkToFit="1"/>
        </x:xf>
      </mc:Fallback>
    </mc:AlternateContent>
    <x:xf numFmtId="0" fontId="8" fillId="0" borderId="0" xfId="0" applyNumberFormat="1" applyFont="1" applyFill="1" applyBorder="1" applyAlignment="1" applyProtection="1">
      <x:alignment horizontal="left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0" fontId="8" fillId="0" borderId="0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x:xf numFmtId="0" fontId="0" fillId="0" borderId="0" xfId="0" applyNumberFormat="1" applyFont="1" applyFill="1" applyBorder="1" applyAlignment="1" applyProtection="1">
      <x:alignment horizontal="general" vertical="center"/>
    </x:xf>
    <x:xf numFmtId="0" fontId="0" fillId="0" borderId="10" xfId="1" applyBorder="1">
      <x:alignment horizontal="general" vertical="center"/>
    </x:xf>
    <x:xf numFmtId="0" fontId="0" fillId="0" borderId="10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0" fillId="5" borderId="10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5" borderId="10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10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0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4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4" xfId="0" applyNumberFormat="1" applyFont="1" applyFill="1" applyBorder="1" applyAlignment="1" applyProtection="1">
          <x:alignment horizontal="center" vertical="center" wrapText="1" shrinkToFit="1"/>
        </x:xf>
      </mc:Fallback>
    </mc:AlternateContent>
    <x:xf numFmtId="0" fontId="7" fillId="0" borderId="0" xfId="0" applyNumberFormat="1" applyFont="1" applyFill="1" applyBorder="1" applyAlignment="1" applyProtection="1">
      <x:alignment horizontal="left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0" fontId="8" fillId="2" borderId="25" xfId="0" applyNumberFormat="1" applyFont="1" applyFill="1" applyBorder="1" applyAlignment="1" applyProtection="1" hs:applyExtension="1">
          <x:alignment horizontal="center" vertical="center" wrapText="1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25" xfId="0" applyNumberFormat="1" applyFont="1" applyFill="1" applyBorder="1" applyAlignment="1" applyProtection="1">
          <x:alignment horizontal="center" vertical="center" wrapText="1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26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26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21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21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7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7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9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9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28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28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0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0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0" applyNumberFormat="1" applyFont="1" applyFill="1" applyBorder="1" applyAlignment="1" applyProtection="1">
          <x:alignment horizontal="center" vertical="center" wrapText="1" shrinkToFit="1"/>
        </x:xf>
      </mc:Fallback>
    </mc:AlternateContent>
    <x:xf numFmtId="0" fontId="0" fillId="0" borderId="0" xfId="1" applyFont="1" applyFill="1" applyBorder="1" applyAlignment="1" applyProtection="1">
      <x:alignment horizontal="general" vertical="center"/>
    </x:xf>
    <x:xf numFmtId="0" fontId="0" fillId="0" borderId="0" xfId="1" applyNumberFormat="1" applyFont="1" applyFill="1" applyBorder="1" applyAlignment="1" applyProtection="1">
      <x:alignment horizontal="general" vertical="center"/>
    </x:xf>
    <x:xf numFmtId="0" fontId="8" fillId="0" borderId="0" xfId="0" applyNumberFormat="1" applyFon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8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0" applyNumberFormat="1" applyFont="1" applyFill="1" applyBorder="1" applyAlignment="1" applyProtection="1">
          <x:alignment horizontal="center" vertical="center"/>
        </x:xf>
      </mc:Fallback>
    </mc:AlternateContent>
    <x:xf numFmtId="0" fontId="7" fillId="0" borderId="0" xfId="0" applyNumberFormat="1" applyFon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8" fillId="2" borderId="29" xfId="0" applyNumberFormat="1" applyFont="1" applyFill="1" applyBorder="1" applyAlignment="1" applyProtection="1" hs:applyExtension="1">
          <x:alignment horizontal="center" vertical="center" wrapText="1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29" xfId="0" applyNumberFormat="1" applyFont="1" applyFill="1" applyBorder="1" applyAlignment="1" applyProtection="1">
          <x:alignment horizontal="center" vertical="center" wrapText="1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8" fillId="3" borderId="28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8" fillId="3" borderId="28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30" xfId="0" applyNumberFormat="1" applyFont="1" applyFill="1" applyBorder="1" applyAlignment="1" applyProtection="1" hs:applyExtension="1">
          <x:alignment horizontal="center" vertical="center" wrapText="1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30" xfId="0" applyNumberFormat="1" applyFont="1" applyFill="1" applyBorder="1" applyAlignment="1" applyProtection="1">
          <x:alignment horizontal="center" vertical="center" wrapText="1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31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1200" hs:breakNonLatinWord="breakWord" hs:breakLatinWord="keepWord" hs:condense="0" hs:textAlignment="baseLine"/>
        </x:xf>
      </mc:Choice>
      <mc:Fallback>
        <x:xf numFmtId="0" fontId="8" fillId="0" borderId="31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32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4" hs:breakNonLatinWord="breakWord" hs:breakLatinWord="keepWord" hs:condense="0" hs:textAlignment="baseLine"/>
        </x:xf>
      </mc:Choice>
      <mc:Fallback>
        <x:xf numFmtId="0" fontId="11" fillId="0" borderId="32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2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2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33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4" hs:breakNonLatinWord="breakWord" hs:breakLatinWord="keepWord" hs:condense="0" hs:textAlignment="baseLine"/>
        </x:xf>
      </mc:Choice>
      <mc:Fallback>
        <x:xf numFmtId="0" fontId="12" fillId="0" borderId="33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34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4" hs:breakNonLatinWord="breakWord" hs:breakLatinWord="keepWord" hs:condense="0" hs:textAlignment="baseLine"/>
        </x:xf>
      </mc:Choice>
      <mc:Fallback>
        <x:xf numFmtId="0" fontId="12" fillId="0" borderId="34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34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4" hs:breakNonLatinWord="breakWord" hs:breakLatinWord="keepWord" hs:condense="0" hs:textAlignment="baseLine"/>
        </x:xf>
      </mc:Choice>
      <mc:Fallback>
        <x:xf numFmtId="0" fontId="12" fillId="0" borderId="34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35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4" hs:breakNonLatinWord="breakWord" hs:breakLatinWord="keepWord" hs:condense="0" hs:textAlignment="baseLine"/>
        </x:xf>
      </mc:Choice>
      <mc:Fallback>
        <x:xf numFmtId="0" fontId="11" fillId="0" borderId="35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36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4" hs:breakNonLatinWord="breakWord" hs:breakLatinWord="keepWord" hs:condense="0" hs:textAlignment="baseLine"/>
        </x:xf>
      </mc:Choice>
      <mc:Fallback>
        <x:xf numFmtId="0" fontId="11" fillId="0" borderId="36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36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4" hs:breakNonLatinWord="breakWord" hs:breakLatinWord="keepWord" hs:condense="0" hs:textAlignment="baseLine"/>
        </x:xf>
      </mc:Choice>
      <mc:Fallback>
        <x:xf numFmtId="0" fontId="12" fillId="0" borderId="36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37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4" hs:breakNonLatinWord="breakWord" hs:breakLatinWord="keepWord" hs:condense="0" hs:textAlignment="baseLine"/>
        </x:xf>
      </mc:Choice>
      <mc:Fallback>
        <x:xf numFmtId="0" fontId="12" fillId="0" borderId="37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38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4" hs:breakNonLatinWord="breakWord" hs:breakLatinWord="keepWord" hs:condense="0" hs:textAlignment="baseLine"/>
        </x:xf>
      </mc:Choice>
      <mc:Fallback>
        <x:xf numFmtId="0" fontId="11" fillId="0" borderId="38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37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4" hs:breakNonLatinWord="breakWord" hs:breakLatinWord="keepWord" hs:condense="0" hs:textAlignment="baseLine"/>
        </x:xf>
      </mc:Choice>
      <mc:Fallback>
        <x:xf numFmtId="0" fontId="11" fillId="0" borderId="37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39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39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40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40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0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41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4" hs:breakNonLatinWord="breakWord" hs:breakLatinWord="keepWord" hs:condense="0" hs:textAlignment="baseLine"/>
        </x:xf>
      </mc:Choice>
      <mc:Fallback>
        <x:xf numFmtId="0" fontId="12" fillId="0" borderId="41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0" applyNumberFormat="1" applyFont="1" applyFill="1" applyBorder="1" applyAlignment="1" applyProtection="1">
          <x:alignment horizontal="center" vertical="center"/>
        </x:xf>
      </mc:Fallback>
    </mc:AlternateContent>
  </x:cellXfs>
  <x:cellStyles count="2">
    <x:cellStyle name="표준" xfId="0" builtinId="0" iLevel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M23"/>
  <x:sheetViews>
    <x:sheetView topLeftCell="A1" zoomScale="140" zoomScaleNormal="140" zoomScaleSheetLayoutView="140" workbookViewId="0">
      <x:selection activeCell="M3" activeCellId="0" sqref="M3:M3"/>
    </x:sheetView>
  </x:sheetViews>
  <x:sheetFormatPr defaultColWidth="8.796875" defaultRowHeight="16.39999999999999857891"/>
  <x:cols>
    <x:col min="1" max="3" width="8.796875" bestFit="1" customWidth="1"/>
    <x:col min="5" max="6" width="8.796875" bestFit="1" customWidth="1"/>
    <x:col min="8" max="11" width="8.796875" bestFit="1" customWidth="1"/>
  </x:cols>
  <x:sheetData>
    <x:row r="1" spans="1:13" ht="20.64999999999999857891">
      <x:c r="A1" s="58" t="s">
        <x:v>50</x:v>
      </x:c>
      <x:c r="B1" s="58"/>
      <x:c r="C1" s="58"/>
      <x:c r="D1" s="58"/>
      <x:c r="E1" s="58"/>
      <x:c r="F1" s="58"/>
      <x:c r="G1" s="58"/>
      <x:c r="H1" s="58"/>
      <x:c r="I1" s="58"/>
      <x:c r="J1" s="58"/>
      <x:c r="K1" s="59"/>
      <x:c r="L1" s="47"/>
      <x:c r="M1" s="1"/>
    </x:row>
    <x:row r="2" spans="1:13">
      <x:c r="A2" s="2" t="s">
        <x:v>22</x:v>
      </x:c>
      <x:c r="B2" s="3" t="s">
        <x:v>17</x:v>
      </x:c>
      <x:c r="C2" s="4" t="s">
        <x:v>18</x:v>
      </x:c>
      <x:c r="D2" s="4" t="s">
        <x:v>40</x:v>
      </x:c>
      <x:c r="E2" s="4" t="s">
        <x:v>11</x:v>
      </x:c>
      <x:c r="F2" s="4" t="s">
        <x:v>20</x:v>
      </x:c>
      <x:c r="G2" s="4" t="s">
        <x:v>15</x:v>
      </x:c>
      <x:c r="H2" s="5" t="s">
        <x:v>12</x:v>
      </x:c>
      <x:c r="I2" s="6" t="s">
        <x:v>13</x:v>
      </x:c>
      <x:c r="J2" s="4" t="s">
        <x:v>14</x:v>
      </x:c>
      <x:c r="K2" s="7" t="s">
        <x:v>19</x:v>
      </x:c>
      <x:c r="L2" s="47"/>
      <x:c r="M2" s="1"/>
    </x:row>
    <x:row r="3" spans="1:13" s="34" customFormat="1">
      <x:c r="A3" s="60" t="s">
        <x:v>49</x:v>
      </x:c>
      <x:c r="B3" s="8" t="s">
        <x:v>42</x:v>
      </x:c>
      <x:c r="C3" s="9"/>
      <x:c r="D3" s="9"/>
      <x:c r="E3" s="9"/>
      <x:c r="F3" s="9"/>
      <x:c r="G3" s="9"/>
      <x:c r="H3" s="10"/>
      <x:c r="I3" s="9"/>
      <x:c r="J3" s="9"/>
      <x:c r="K3" s="9"/>
      <x:c r="L3" s="47"/>
      <x:c r="M3" s="1"/>
    </x:row>
    <x:row r="4" spans="1:13" s="34" customFormat="1" ht="23.89999999999999857891">
      <x:c r="A4" s="61"/>
      <x:c r="B4" s="11" t="s">
        <x:v>33</x:v>
      </x:c>
      <x:c r="C4" s="12">
        <x:f>IF(C3="A",5,IF(C3="B",4,IF(C3="C",3,IF(C3="D",2,IF(C3="E",1,0)))))</x:f>
        <x:v>0</x:v>
      </x:c>
      <x:c r="D4" s="12">
        <x:f>IF(D3="A",5,IF(D3="B",4,IF(D3="C",3,IF(D3="D",2,IF(D3="E",1,0)))))</x:f>
        <x:v>0</x:v>
      </x:c>
      <x:c r="E4" s="12">
        <x:f>IF(E3="A",5,IF(E3="B",4,IF(E3="C",3,IF(E3="D",2,IF(E3="E",1,0)))))</x:f>
        <x:v>0</x:v>
      </x:c>
      <x:c r="F4" s="12">
        <x:f>IF(F3="A",5,IF(F3="B",4,IF(F3="C",3,IF(F3="D",2,IF(F3="E",1,0)))))</x:f>
        <x:v>0</x:v>
      </x:c>
      <x:c r="G4" s="12">
        <x:f>IF(G3="A",5,IF(G3="B",4,IF(G3="C",3,IF(G3="D",2,IF(G3="E",1,0)))))</x:f>
        <x:v>0</x:v>
      </x:c>
      <x:c r="H4" s="13">
        <x:f>SUM(C4:G4)</x:f>
        <x:v>0</x:v>
      </x:c>
      <x:c r="I4" s="14">
        <x:f>IF(I3="A",10,IF(I3="B",9,IF(I3="C",8,0)))</x:f>
        <x:v>0</x:v>
      </x:c>
      <x:c r="J4" s="12">
        <x:f>IF(J3="A",10,IF(J3="B",9,IF(J3="C",8,0)))</x:f>
        <x:v>0</x:v>
      </x:c>
      <x:c r="K4" s="15">
        <x:f>IF(K3="A",10,IF(K3="B",9,IF(K3="C",8,0)))</x:f>
        <x:v>0</x:v>
      </x:c>
      <x:c r="L4" s="47"/>
      <x:c r="M4" s="1"/>
    </x:row>
    <x:row r="5" spans="1:13">
      <x:c r="A5" s="60" t="s">
        <x:v>41</x:v>
      </x:c>
      <x:c r="B5" s="8" t="s">
        <x:v>42</x:v>
      </x:c>
      <x:c r="C5" s="9"/>
      <x:c r="D5" s="9"/>
      <x:c r="E5" s="9"/>
      <x:c r="F5" s="9"/>
      <x:c r="G5" s="9"/>
      <x:c r="H5" s="10"/>
      <x:c r="I5" s="9"/>
      <x:c r="J5" s="9"/>
      <x:c r="K5" s="9"/>
      <x:c r="L5" s="47"/>
      <x:c r="M5" s="1"/>
    </x:row>
    <x:row r="6" spans="1:13" ht="23.89999999999999857891">
      <x:c r="A6" s="61"/>
      <x:c r="B6" s="11" t="s">
        <x:v>33</x:v>
      </x:c>
      <x:c r="C6" s="12">
        <x:f>IF(C5="A",5,IF(C5="B",4,IF(C5="C",3,IF(C5="D",2,IF(C5="E",1,0)))))</x:f>
        <x:v>0</x:v>
      </x:c>
      <x:c r="D6" s="12">
        <x:f>IF(D5="A",5,IF(D5="B",4,IF(D5="C",3,IF(D5="D",2,IF(D5="E",1,0)))))</x:f>
        <x:v>0</x:v>
      </x:c>
      <x:c r="E6" s="12">
        <x:f>IF(E5="A",5,IF(E5="B",4,IF(E5="C",3,IF(E5="D",2,IF(E5="E",1,0)))))</x:f>
        <x:v>0</x:v>
      </x:c>
      <x:c r="F6" s="12">
        <x:f>IF(F5="A",5,IF(F5="B",4,IF(F5="C",3,IF(F5="D",2,IF(F5="E",1,0)))))</x:f>
        <x:v>0</x:v>
      </x:c>
      <x:c r="G6" s="12">
        <x:f>IF(G5="A",5,IF(G5="B",4,IF(G5="C",3,IF(G5="D",2,IF(G5="E",1,0)))))</x:f>
        <x:v>0</x:v>
      </x:c>
      <x:c r="H6" s="13">
        <x:f>SUM(C6:G6)</x:f>
        <x:v>0</x:v>
      </x:c>
      <x:c r="I6" s="14">
        <x:f>IF(I5="A",10,IF(I5="B",9,IF(I5="C",8,0)))</x:f>
        <x:v>0</x:v>
      </x:c>
      <x:c r="J6" s="12">
        <x:f>IF(J5="A",10,IF(J5="B",9,IF(J5="C",8,0)))</x:f>
        <x:v>0</x:v>
      </x:c>
      <x:c r="K6" s="15">
        <x:f>IF(K5="A",10,IF(K5="B",9,IF(K5="C",8,0)))</x:f>
        <x:v>0</x:v>
      </x:c>
      <x:c r="L6" s="47"/>
      <x:c r="M6" s="1"/>
    </x:row>
    <x:row r="7" spans="1:13">
      <x:c r="A7" s="62" t="s">
        <x:v>38</x:v>
      </x:c>
      <x:c r="B7" s="16" t="s">
        <x:v>42</x:v>
      </x:c>
      <x:c r="C7" s="9"/>
      <x:c r="D7" s="9"/>
      <x:c r="E7" s="9"/>
      <x:c r="F7" s="9"/>
      <x:c r="G7" s="9"/>
      <x:c r="H7" s="17"/>
      <x:c r="I7" s="9"/>
      <x:c r="J7" s="9"/>
      <x:c r="K7" s="9"/>
      <x:c r="L7" s="47"/>
      <x:c r="M7" s="1"/>
    </x:row>
    <x:row r="8" spans="1:13" ht="23.89999999999999857891">
      <x:c r="A8" s="61"/>
      <x:c r="B8" s="11" t="s">
        <x:v>33</x:v>
      </x:c>
      <x:c r="C8" s="12">
        <x:f>IF(C7="A",5,IF(C7="B",4,IF(C7="C",3,IF(C7="D",2,IF(C7="E",1,0)))))</x:f>
        <x:v>0</x:v>
      </x:c>
      <x:c r="D8" s="12">
        <x:f>IF(D7="A",5,IF(D7="B",4,IF(D7="C",3,IF(D7="D",2,IF(D7="E",1,0)))))</x:f>
        <x:v>0</x:v>
      </x:c>
      <x:c r="E8" s="12">
        <x:f>IF(E7="A",5,IF(E7="B",4,IF(E7="C",3,IF(E7="D",2,IF(E7="E",1,0)))))</x:f>
        <x:v>0</x:v>
      </x:c>
      <x:c r="F8" s="12">
        <x:f>IF(F7="A",5,IF(F7="B",4,IF(F7="C",3,IF(F7="D",2,IF(F7="E",1,0)))))</x:f>
        <x:v>0</x:v>
      </x:c>
      <x:c r="G8" s="12">
        <x:f>IF(G7="A",5,IF(G7="B",4,IF(G7="C",3,IF(G7="D",2,IF(G7="E",1,0)))))</x:f>
        <x:v>0</x:v>
      </x:c>
      <x:c r="H8" s="13">
        <x:f>SUM(C8:G8)</x:f>
        <x:v>0</x:v>
      </x:c>
      <x:c r="I8" s="14">
        <x:f>IF(I7="A",10,IF(I7="B",9,IF(I7="C",8,0)))</x:f>
        <x:v>0</x:v>
      </x:c>
      <x:c r="J8" s="12">
        <x:f>IF(J7="A",10,IF(J7="B",9,IF(J7="C",8,0)))</x:f>
        <x:v>0</x:v>
      </x:c>
      <x:c r="K8" s="15">
        <x:f>IF(K7="A",10,IF(K7="B",9,IF(K7="C",8,0)))</x:f>
        <x:v>0</x:v>
      </x:c>
      <x:c r="L8" s="47"/>
      <x:c r="M8" s="1"/>
    </x:row>
    <x:row r="9" spans="1:13">
      <x:c r="A9" s="62" t="s">
        <x:v>26</x:v>
      </x:c>
      <x:c r="B9" s="16" t="s">
        <x:v>42</x:v>
      </x:c>
      <x:c r="C9" s="9"/>
      <x:c r="D9" s="9"/>
      <x:c r="E9" s="9"/>
      <x:c r="F9" s="9"/>
      <x:c r="G9" s="9"/>
      <x:c r="H9" s="17"/>
      <x:c r="I9" s="9"/>
      <x:c r="J9" s="9"/>
      <x:c r="K9" s="9"/>
      <x:c r="L9" s="47"/>
      <x:c r="M9" s="1"/>
    </x:row>
    <x:row r="10" spans="1:13" ht="23.89999999999999857891">
      <x:c r="A10" s="61"/>
      <x:c r="B10" s="11" t="s">
        <x:v>33</x:v>
      </x:c>
      <x:c r="C10" s="12">
        <x:f>IF(C9="A",5,IF(C9="B",4,IF(C9="C",3,IF(C9="D",2,IF(C9="E",1,0)))))</x:f>
        <x:v>0</x:v>
      </x:c>
      <x:c r="D10" s="12">
        <x:f>IF(D9="A",5,IF(D9="B",4,IF(D9="C",3,IF(D9="D",2,IF(D9="E",1,0)))))</x:f>
        <x:v>0</x:v>
      </x:c>
      <x:c r="E10" s="12">
        <x:f>IF(E9="A",5,IF(E9="B",4,IF(E9="C",3,IF(E9="D",2,IF(E9="E",1,0)))))</x:f>
        <x:v>0</x:v>
      </x:c>
      <x:c r="F10" s="12">
        <x:f>IF(F9="A",5,IF(F9="B",4,IF(F9="C",3,IF(F9="D",2,IF(F9="E",1,0)))))</x:f>
        <x:v>0</x:v>
      </x:c>
      <x:c r="G10" s="12">
        <x:f>IF(G9="A",5,IF(G9="B",4,IF(G9="C",3,IF(G9="D",2,IF(G9="E",1,0)))))</x:f>
        <x:v>0</x:v>
      </x:c>
      <x:c r="H10" s="13">
        <x:f>SUM(C10:G10)</x:f>
        <x:v>0</x:v>
      </x:c>
      <x:c r="I10" s="14">
        <x:f>IF(I9="A",10,IF(I9="B",9,IF(I9="C",8,0)))</x:f>
        <x:v>0</x:v>
      </x:c>
      <x:c r="J10" s="12">
        <x:f>IF(J9="A",10,IF(J9="B",9,IF(J9="C",8,0)))</x:f>
        <x:v>0</x:v>
      </x:c>
      <x:c r="K10" s="15">
        <x:f>IF(K9="A",10,IF(K9="B",9,IF(K9="C",8,0)))</x:f>
        <x:v>0</x:v>
      </x:c>
      <x:c r="L10" s="47"/>
      <x:c r="M10" s="1"/>
    </x:row>
    <x:row r="11" spans="1:13">
      <x:c r="A11" s="48"/>
      <x:c r="B11" s="48"/>
      <x:c r="C11" s="48"/>
      <x:c r="D11" s="48"/>
      <x:c r="E11" s="48"/>
      <x:c r="F11" s="48"/>
      <x:c r="G11" s="48"/>
      <x:c r="H11" s="48"/>
      <x:c r="I11" s="48"/>
      <x:c r="J11" s="48"/>
      <x:c r="K11" s="48"/>
      <x:c r="L11" s="47"/>
      <x:c r="M11" s="1"/>
    </x:row>
    <x:row r="12" spans="1:12" ht="20.64999999999999857891" customHeight="1">
      <x:c r="A12" s="63" t="s">
        <x:v>27</x:v>
      </x:c>
      <x:c r="B12" s="64"/>
      <x:c r="C12" s="65"/>
      <x:c r="D12" s="66"/>
      <x:c r="E12" s="67" t="s">
        <x:v>30</x:v>
      </x:c>
      <x:c r="F12" s="64"/>
      <x:c r="G12" s="64"/>
      <x:c r="H12" s="68"/>
      <x:c r="I12" s="67" t="s">
        <x:v>29</x:v>
      </x:c>
      <x:c r="J12" s="64"/>
      <x:c r="K12" s="68"/>
      <x:c r="L12" s="69" t="s">
        <x:v>24</x:v>
      </x:c>
    </x:row>
    <x:row r="13" spans="1:12" ht="36.60000000000000142109" customHeight="1">
      <x:c r="A13" s="19" t="s">
        <x:v>6</x:v>
      </x:c>
      <x:c r="B13" s="20" t="s">
        <x:v>5</x:v>
      </x:c>
      <x:c r="C13" s="20" t="s">
        <x:v>43</x:v>
      </x:c>
      <x:c r="D13" s="20" t="s">
        <x:v>32</x:v>
      </x:c>
      <x:c r="E13" s="21" t="s">
        <x:v>7</x:v>
      </x:c>
      <x:c r="F13" s="22" t="s">
        <x:v>46</x:v>
      </x:c>
      <x:c r="G13" s="20" t="s">
        <x:v>35</x:v>
      </x:c>
      <x:c r="H13" s="20" t="s">
        <x:v>36</x:v>
      </x:c>
      <x:c r="I13" s="23" t="s">
        <x:v>28</x:v>
      </x:c>
      <x:c r="J13" s="39" t="s">
        <x:v>34</x:v>
      </x:c>
      <x:c r="K13" s="20" t="s">
        <x:v>37</x:v>
      </x:c>
      <x:c r="L13" s="70"/>
    </x:row>
    <x:row r="14" spans="1:12">
      <x:c r="A14" s="24">
        <x:f>(H4+H6+H8+H10)/20</x:f>
        <x:v>0</x:v>
      </x:c>
      <x:c r="B14" s="25" t="e">
        <x:f>IF(A14="","",VLOOKUP(A14,Sheet2!$A$1:$D$21,2,TRUE))</x:f>
        <x:v>#N/A</x:v>
      </x:c>
      <x:c r="C14" s="26" t="e">
        <x:f>SUM(I4:K4,I6:K6,I8:K8,I10:K10)/COUNTA(I3:K3,I5:K5,I7:K7,I9:K9)</x:f>
        <x:v>#DIV/0!</x:v>
      </x:c>
      <x:c r="D14" s="55" t="e">
        <x:f>B14+C14</x:f>
        <x:v>#N/A</x:v>
      </x:c>
      <x:c r="E14" s="41"/>
      <x:c r="F14" s="41"/>
      <x:c r="G14" s="28" t="str">
        <x:f>IF(OR(E14="",F14=""),"",INT((E14/3)+F14))</x:f>
        <x:v/>
      </x:c>
      <x:c r="H14" s="29" t="str">
        <x:f>IF(G14="","",VLOOKUP(G14,Sheet2!$G$2:$H$6,2,TRUE))</x:f>
        <x:v/>
      </x:c>
      <x:c r="I14" s="46">
        <x:v>15</x:v>
      </x:c>
      <x:c r="J14" s="56"/>
      <x:c r="K14" s="30" t="str">
        <x:f>IF(J14="","",VLOOKUP(J14,Sheet2!$J$1:$K$6,2,TRUE))</x:f>
        <x:v/>
      </x:c>
      <x:c r="L14" s="31" t="e">
        <x:f>IF(OR(D14="",H14="",K14=""),"",SUM(D14,H14,K14))</x:f>
        <x:v>#N/A</x:v>
      </x:c>
    </x:row>
    <x:row r="15" spans="1:13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"/>
      <x:c r="M15" s="1"/>
    </x:row>
    <x:row r="16" spans="1:13">
      <x:c r="A16" s="32" t="s">
        <x:v>1</x:v>
      </x:c>
      <x:c r="B16" s="32"/>
      <x:c r="C16" s="32"/>
      <x:c r="D16" s="32"/>
      <x:c r="E16" s="32"/>
      <x:c r="F16" s="32"/>
      <x:c r="G16" s="32"/>
      <x:c r="H16" s="32"/>
      <x:c r="I16" s="32"/>
      <x:c r="J16" s="32"/>
      <x:c r="K16" s="33"/>
      <x:c r="L16" s="1"/>
      <x:c r="M16" s="1"/>
    </x:row>
    <x:row r="17" spans="1:13">
      <x:c r="A17" s="71" t="s">
        <x:v>45</x:v>
      </x:c>
      <x:c r="B17" s="71"/>
      <x:c r="C17" s="32" t="s">
        <x:v>0</x:v>
      </x:c>
      <x:c r="D17" s="33"/>
      <x:c r="E17" s="33"/>
      <x:c r="F17" s="33"/>
      <x:c r="G17" s="33"/>
      <x:c r="H17" s="33"/>
      <x:c r="I17" s="33"/>
      <x:c r="J17" s="33"/>
      <x:c r="K17" s="33"/>
      <x:c r="L17" s="1"/>
      <x:c r="M17" s="1"/>
    </x:row>
    <x:row r="18" spans="1:13">
      <x:c r="A18" s="32"/>
      <x:c r="B18" s="32"/>
      <x:c r="C18" s="32" t="s">
        <x:v>8</x:v>
      </x:c>
      <x:c r="D18" s="33"/>
      <x:c r="E18" s="33"/>
      <x:c r="F18" s="33"/>
      <x:c r="G18" s="33"/>
      <x:c r="H18" s="33"/>
      <x:c r="I18" s="33"/>
      <x:c r="J18" s="33"/>
      <x:c r="K18" s="33"/>
      <x:c r="L18" s="1"/>
      <x:c r="M18" s="1"/>
    </x:row>
    <x:row r="19" spans="1:13">
      <x:c r="A19" s="32"/>
      <x:c r="B19" s="32"/>
      <x:c r="C19" s="40" t="s">
        <x:v>4</x:v>
      </x:c>
      <x:c r="D19" s="33"/>
      <x:c r="E19" s="33"/>
      <x:c r="F19" s="33"/>
      <x:c r="G19" s="33"/>
      <x:c r="H19" s="33"/>
      <x:c r="I19" s="33"/>
      <x:c r="J19" s="33"/>
      <x:c r="K19" s="33"/>
      <x:c r="L19" s="1"/>
      <x:c r="M19" s="1"/>
    </x:row>
    <x:row r="20" spans="1:13">
      <x:c r="A20" s="71" t="s">
        <x:v>44</x:v>
      </x:c>
      <x:c r="B20" s="71"/>
      <x:c r="C20" s="32" t="s">
        <x:v>23</x:v>
      </x:c>
      <x:c r="D20" s="33"/>
      <x:c r="E20" s="33"/>
      <x:c r="F20" s="33"/>
      <x:c r="G20" s="33"/>
      <x:c r="H20" s="33"/>
      <x:c r="I20" s="33"/>
      <x:c r="J20" s="33"/>
      <x:c r="K20" s="33"/>
      <x:c r="L20" s="1"/>
      <x:c r="M20" s="1"/>
    </x:row>
    <x:row r="21" spans="1:13">
      <x:c r="A21" s="32"/>
      <x:c r="B21" s="33"/>
      <x:c r="C21" s="32" t="s">
        <x:v>3</x:v>
      </x:c>
      <x:c r="D21" s="33"/>
      <x:c r="E21" s="33"/>
      <x:c r="F21" s="33"/>
      <x:c r="G21" s="33"/>
      <x:c r="H21" s="33"/>
      <x:c r="I21" s="33"/>
      <x:c r="J21" s="33"/>
      <x:c r="K21" s="33"/>
      <x:c r="L21" s="1"/>
      <x:c r="M21" s="1"/>
    </x:row>
    <x:row r="22" spans="1:13">
      <x:c r="A22" s="71" t="s">
        <x:v>47</x:v>
      </x:c>
      <x:c r="B22" s="71"/>
      <x:c r="C22" s="32" t="s">
        <x:v>2</x:v>
      </x:c>
      <x:c r="D22" s="33"/>
      <x:c r="E22" s="33"/>
      <x:c r="F22" s="33"/>
      <x:c r="G22" s="33"/>
      <x:c r="H22" s="33"/>
      <x:c r="I22" s="33"/>
      <x:c r="J22" s="33"/>
      <x:c r="K22" s="33"/>
      <x:c r="L22" s="1"/>
      <x:c r="M22" s="1"/>
    </x:row>
    <x:row r="23" spans="1:13">
      <x:c r="A23" s="33"/>
      <x:c r="B23" s="33"/>
      <x:c r="C23" s="32" t="s">
        <x:v>48</x:v>
      </x:c>
      <x:c r="D23" s="33"/>
      <x:c r="E23" s="33"/>
      <x:c r="F23" s="33"/>
      <x:c r="G23" s="33"/>
      <x:c r="H23" s="33"/>
      <x:c r="I23" s="33"/>
      <x:c r="J23" s="33"/>
      <x:c r="K23" s="33"/>
      <x:c r="L23" s="1"/>
      <x:c r="M23" s="1"/>
    </x:row>
  </x:sheetData>
  <x:sheetProtection sheet="1" objects="1" scenarios="1" formatCells="1" formatColumns="1" formatRows="1" insertColumns="1" insertRows="1" insertHyperlinks="1" deleteColumns="1" deleteRows="1" selectLockedCells="1" sort="1" autoFilter="1" pivotTables="1" selectUnlockedCells="0"/>
  <x:mergeCells count="12">
    <x:mergeCell ref="A1:K1"/>
    <x:mergeCell ref="A3:A4"/>
    <x:mergeCell ref="A5:A6"/>
    <x:mergeCell ref="A7:A8"/>
    <x:mergeCell ref="A9:A10"/>
    <x:mergeCell ref="A12:D12"/>
    <x:mergeCell ref="E12:H12"/>
    <x:mergeCell ref="I12:K12"/>
    <x:mergeCell ref="L12:L13"/>
    <x:mergeCell ref="A17:B17"/>
    <x:mergeCell ref="A20:B20"/>
    <x:mergeCell ref="A22:B22"/>
  </x:mergeCells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M23"/>
  <x:sheetViews>
    <x:sheetView topLeftCell="A1" zoomScale="140" zoomScaleNormal="140" zoomScaleSheetLayoutView="140" workbookViewId="0">
      <x:selection activeCell="E7" activeCellId="0" sqref="E7:E7"/>
    </x:sheetView>
  </x:sheetViews>
  <x:sheetFormatPr defaultColWidth="8.796875" defaultRowHeight="16.39999999999999857891"/>
  <x:cols>
    <x:col min="1" max="3" width="8.796875" bestFit="1" customWidth="1"/>
    <x:col min="5" max="6" width="8.796875" bestFit="1" customWidth="1"/>
    <x:col min="8" max="11" width="8.796875" bestFit="1" customWidth="1"/>
  </x:cols>
  <x:sheetData>
    <x:row r="1" spans="1:13" ht="20.64999999999999857891" customHeight="1">
      <x:c r="A1" s="58" t="s">
        <x:v>52</x:v>
      </x:c>
      <x:c r="B1" s="58"/>
      <x:c r="C1" s="58"/>
      <x:c r="D1" s="58"/>
      <x:c r="E1" s="58"/>
      <x:c r="F1" s="58"/>
      <x:c r="G1" s="58"/>
      <x:c r="H1" s="58"/>
      <x:c r="I1" s="58"/>
      <x:c r="J1" s="58"/>
      <x:c r="K1" s="59"/>
      <x:c r="L1" s="47"/>
      <x:c r="M1" s="1"/>
    </x:row>
    <x:row r="2" spans="1:13">
      <x:c r="A2" s="2" t="s">
        <x:v>22</x:v>
      </x:c>
      <x:c r="B2" s="3" t="s">
        <x:v>17</x:v>
      </x:c>
      <x:c r="C2" s="4" t="s">
        <x:v>18</x:v>
      </x:c>
      <x:c r="D2" s="4" t="s">
        <x:v>40</x:v>
      </x:c>
      <x:c r="E2" s="4" t="s">
        <x:v>11</x:v>
      </x:c>
      <x:c r="F2" s="4" t="s">
        <x:v>20</x:v>
      </x:c>
      <x:c r="G2" s="4" t="s">
        <x:v>15</x:v>
      </x:c>
      <x:c r="H2" s="5" t="s">
        <x:v>12</x:v>
      </x:c>
      <x:c r="I2" s="6" t="s">
        <x:v>13</x:v>
      </x:c>
      <x:c r="J2" s="4" t="s">
        <x:v>14</x:v>
      </x:c>
      <x:c r="K2" s="7" t="s">
        <x:v>19</x:v>
      </x:c>
      <x:c r="L2" s="47"/>
      <x:c r="M2" s="1"/>
    </x:row>
    <x:row r="3" spans="1:13" s="34" customFormat="1">
      <x:c r="A3" s="60" t="s">
        <x:v>49</x:v>
      </x:c>
      <x:c r="B3" s="8" t="s">
        <x:v>42</x:v>
      </x:c>
      <x:c r="C3" s="9"/>
      <x:c r="D3" s="9"/>
      <x:c r="E3" s="9"/>
      <x:c r="F3" s="9"/>
      <x:c r="G3" s="9"/>
      <x:c r="H3" s="57"/>
      <x:c r="I3" s="9"/>
      <x:c r="J3" s="9"/>
      <x:c r="K3" s="9"/>
      <x:c r="L3" s="47"/>
      <x:c r="M3" s="1"/>
    </x:row>
    <x:row r="4" spans="1:13" s="34" customFormat="1" ht="23.89999999999999857891">
      <x:c r="A4" s="61"/>
      <x:c r="B4" s="11" t="s">
        <x:v>33</x:v>
      </x:c>
      <x:c r="C4" s="12">
        <x:f>IF(C3="A",5,IF(C3="B",4,IF(C3="C",3,IF(C3="D",2,IF(C3="E",1,0)))))</x:f>
        <x:v>0</x:v>
      </x:c>
      <x:c r="D4" s="12">
        <x:f>IF(D3="A",5,IF(D3="B",4,IF(D3="C",3,IF(D3="D",2,IF(D3="E",1,0)))))</x:f>
        <x:v>0</x:v>
      </x:c>
      <x:c r="E4" s="12">
        <x:f>IF(E3="A",5,IF(E3="B",4,IF(E3="C",3,IF(E3="D",2,IF(E3="E",1,0)))))</x:f>
        <x:v>0</x:v>
      </x:c>
      <x:c r="F4" s="12">
        <x:f>IF(F3="A",5,IF(F3="B",4,IF(F3="C",3,IF(F3="D",2,IF(F3="E",1,0)))))</x:f>
        <x:v>0</x:v>
      </x:c>
      <x:c r="G4" s="12">
        <x:f>IF(G3="A",5,IF(G3="B",4,IF(G3="C",3,IF(G3="D",2,IF(G3="E",1,0)))))</x:f>
        <x:v>0</x:v>
      </x:c>
      <x:c r="H4" s="13">
        <x:f>SUM(C4:G4)</x:f>
        <x:v>0</x:v>
      </x:c>
      <x:c r="I4" s="14">
        <x:f>IF(I3="A",10,IF(I3="B",9,IF(I3="C",8,0)))</x:f>
        <x:v>0</x:v>
      </x:c>
      <x:c r="J4" s="12">
        <x:f>IF(J3="A",10,IF(J3="B",9,IF(J3="C",8,0)))</x:f>
        <x:v>0</x:v>
      </x:c>
      <x:c r="K4" s="15">
        <x:f>IF(K3="A",10,IF(K3="B",9,IF(K3="C",8,0)))</x:f>
        <x:v>0</x:v>
      </x:c>
      <x:c r="L4" s="47"/>
      <x:c r="M4" s="1"/>
    </x:row>
    <x:row r="5" spans="1:13">
      <x:c r="A5" s="60" t="s">
        <x:v>41</x:v>
      </x:c>
      <x:c r="B5" s="8" t="s">
        <x:v>42</x:v>
      </x:c>
      <x:c r="C5" s="9"/>
      <x:c r="D5" s="9"/>
      <x:c r="E5" s="9"/>
      <x:c r="F5" s="9"/>
      <x:c r="G5" s="9"/>
      <x:c r="H5" s="10"/>
      <x:c r="I5" s="9"/>
      <x:c r="J5" s="9"/>
      <x:c r="K5" s="9"/>
      <x:c r="L5" s="47"/>
      <x:c r="M5" s="1"/>
    </x:row>
    <x:row r="6" spans="1:13" ht="23.89999999999999857891">
      <x:c r="A6" s="61"/>
      <x:c r="B6" s="11" t="s">
        <x:v>33</x:v>
      </x:c>
      <x:c r="C6" s="12">
        <x:f>IF(C5="A",5,IF(C5="B",4,IF(C5="C",3,IF(C5="D",2,IF(C5="E",1,0)))))</x:f>
        <x:v>0</x:v>
      </x:c>
      <x:c r="D6" s="12">
        <x:f>IF(D5="A",5,IF(D5="B",4,IF(D5="C",3,IF(D5="D",2,IF(D5="E",1,0)))))</x:f>
        <x:v>0</x:v>
      </x:c>
      <x:c r="E6" s="12">
        <x:f>IF(E5="A",5,IF(E5="B",4,IF(E5="C",3,IF(E5="D",2,IF(E5="E",1,0)))))</x:f>
        <x:v>0</x:v>
      </x:c>
      <x:c r="F6" s="12">
        <x:f>IF(F5="A",5,IF(F5="B",4,IF(F5="C",3,IF(F5="D",2,IF(F5="E",1,0)))))</x:f>
        <x:v>0</x:v>
      </x:c>
      <x:c r="G6" s="12">
        <x:f>IF(G5="A",5,IF(G5="B",4,IF(G5="C",3,IF(G5="D",2,IF(G5="E",1,0)))))</x:f>
        <x:v>0</x:v>
      </x:c>
      <x:c r="H6" s="13">
        <x:f>SUM(C6:G6)</x:f>
        <x:v>0</x:v>
      </x:c>
      <x:c r="I6" s="14">
        <x:f>IF(I5="A",10,IF(I5="B",9,IF(I5="C",8,0)))</x:f>
        <x:v>0</x:v>
      </x:c>
      <x:c r="J6" s="12">
        <x:f>IF(J5="A",10,IF(J5="B",9,IF(J5="C",8,0)))</x:f>
        <x:v>0</x:v>
      </x:c>
      <x:c r="K6" s="15">
        <x:f>IF(K5="A",10,IF(K5="B",9,IF(K5="C",8,0)))</x:f>
        <x:v>0</x:v>
      </x:c>
      <x:c r="L6" s="47"/>
      <x:c r="M6" s="1"/>
    </x:row>
    <x:row r="7" spans="1:13">
      <x:c r="A7" s="62" t="s">
        <x:v>38</x:v>
      </x:c>
      <x:c r="B7" s="16" t="s">
        <x:v>42</x:v>
      </x:c>
      <x:c r="C7" s="9"/>
      <x:c r="D7" s="9"/>
      <x:c r="E7" s="9"/>
      <x:c r="F7" s="9"/>
      <x:c r="G7" s="9"/>
      <x:c r="H7" s="17"/>
      <x:c r="I7" s="9"/>
      <x:c r="J7" s="9"/>
      <x:c r="K7" s="9"/>
      <x:c r="L7" s="47"/>
      <x:c r="M7" s="1"/>
    </x:row>
    <x:row r="8" spans="1:13" ht="23.89999999999999857891">
      <x:c r="A8" s="61"/>
      <x:c r="B8" s="11" t="s">
        <x:v>33</x:v>
      </x:c>
      <x:c r="C8" s="12">
        <x:f>IF(C7="A",5,IF(C7="B",4,IF(C7="C",3,IF(C7="D",2,IF(C7="E",1,0)))))</x:f>
        <x:v>0</x:v>
      </x:c>
      <x:c r="D8" s="12">
        <x:f>IF(D7="A",5,IF(D7="B",4,IF(D7="C",3,IF(D7="D",2,IF(D7="E",1,0)))))</x:f>
        <x:v>0</x:v>
      </x:c>
      <x:c r="E8" s="12">
        <x:f>IF(E7="A",5,IF(E7="B",4,IF(E7="C",3,IF(E7="D",2,IF(E7="E",1,0)))))</x:f>
        <x:v>0</x:v>
      </x:c>
      <x:c r="F8" s="12">
        <x:f>IF(F7="A",5,IF(F7="B",4,IF(F7="C",3,IF(F7="D",2,IF(F7="E",1,0)))))</x:f>
        <x:v>0</x:v>
      </x:c>
      <x:c r="G8" s="12">
        <x:f>IF(G7="A",5,IF(G7="B",4,IF(G7="C",3,IF(G7="D",2,IF(G7="E",1,0)))))</x:f>
        <x:v>0</x:v>
      </x:c>
      <x:c r="H8" s="13">
        <x:f>SUM(C8:G8)</x:f>
        <x:v>0</x:v>
      </x:c>
      <x:c r="I8" s="14">
        <x:f>IF(I7="A",10,IF(I7="B",9,IF(I7="C",8,0)))</x:f>
        <x:v>0</x:v>
      </x:c>
      <x:c r="J8" s="12">
        <x:f>IF(J7="A",10,IF(J7="B",9,IF(J7="C",8,0)))</x:f>
        <x:v>0</x:v>
      </x:c>
      <x:c r="K8" s="15">
        <x:f>IF(K7="A",10,IF(K7="B",9,IF(K7="C",8,0)))</x:f>
        <x:v>0</x:v>
      </x:c>
      <x:c r="L8" s="47"/>
      <x:c r="M8" s="1"/>
    </x:row>
    <x:row r="9" spans="1:13">
      <x:c r="A9" s="62" t="s">
        <x:v>26</x:v>
      </x:c>
      <x:c r="B9" s="16" t="s">
        <x:v>42</x:v>
      </x:c>
      <x:c r="C9" s="9"/>
      <x:c r="D9" s="9"/>
      <x:c r="E9" s="9"/>
      <x:c r="F9" s="9"/>
      <x:c r="G9" s="9"/>
      <x:c r="H9" s="17"/>
      <x:c r="I9" s="9"/>
      <x:c r="J9" s="9"/>
      <x:c r="K9" s="9"/>
      <x:c r="L9" s="47"/>
      <x:c r="M9" s="1"/>
    </x:row>
    <x:row r="10" spans="1:13" ht="23.89999999999999857891">
      <x:c r="A10" s="61"/>
      <x:c r="B10" s="11" t="s">
        <x:v>33</x:v>
      </x:c>
      <x:c r="C10" s="12">
        <x:f>IF(C9="A",5,IF(C9="B",4,IF(C9="C",3,IF(C9="D",2,IF(C9="E",1,0)))))</x:f>
        <x:v>0</x:v>
      </x:c>
      <x:c r="D10" s="12">
        <x:f>IF(D9="A",5,IF(D9="B",4,IF(D9="C",3,IF(D9="D",2,IF(D9="E",1,0)))))</x:f>
        <x:v>0</x:v>
      </x:c>
      <x:c r="E10" s="12">
        <x:f>IF(E9="A",5,IF(E9="B",4,IF(E9="C",3,IF(E9="D",2,IF(E9="E",1,0)))))</x:f>
        <x:v>0</x:v>
      </x:c>
      <x:c r="F10" s="12">
        <x:f>IF(F9="A",5,IF(F9="B",4,IF(F9="C",3,IF(F9="D",2,IF(F9="E",1,0)))))</x:f>
        <x:v>0</x:v>
      </x:c>
      <x:c r="G10" s="12">
        <x:f>IF(G9="A",5,IF(G9="B",4,IF(G9="C",3,IF(G9="D",2,IF(G9="E",1,0)))))</x:f>
        <x:v>0</x:v>
      </x:c>
      <x:c r="H10" s="13">
        <x:f>SUM(C10:G10)</x:f>
        <x:v>0</x:v>
      </x:c>
      <x:c r="I10" s="14">
        <x:f>IF(I9="A",10,IF(I9="B",9,IF(I9="C",8,0)))</x:f>
        <x:v>0</x:v>
      </x:c>
      <x:c r="J10" s="12">
        <x:f>IF(J9="A",10,IF(J9="B",9,IF(J9="C",8,0)))</x:f>
        <x:v>0</x:v>
      </x:c>
      <x:c r="K10" s="15">
        <x:f>IF(K9="A",10,IF(K9="B",9,IF(K9="C",8,0)))</x:f>
        <x:v>0</x:v>
      </x:c>
      <x:c r="L10" s="47"/>
      <x:c r="M10" s="1"/>
    </x:row>
    <x:row r="11" spans="1:13">
      <x:c r="A11" s="48"/>
      <x:c r="B11" s="48"/>
      <x:c r="C11" s="48"/>
      <x:c r="D11" s="48"/>
      <x:c r="E11" s="48"/>
      <x:c r="F11" s="48"/>
      <x:c r="G11" s="48"/>
      <x:c r="H11" s="48"/>
      <x:c r="I11" s="48"/>
      <x:c r="J11" s="48"/>
      <x:c r="K11" s="48"/>
      <x:c r="L11" s="47"/>
      <x:c r="M11" s="1"/>
    </x:row>
    <x:row r="12" spans="1:12" ht="20.64999999999999857891" customHeight="1">
      <x:c r="A12" s="63" t="s">
        <x:v>27</x:v>
      </x:c>
      <x:c r="B12" s="64"/>
      <x:c r="C12" s="65"/>
      <x:c r="D12" s="66"/>
      <x:c r="E12" s="67" t="s">
        <x:v>30</x:v>
      </x:c>
      <x:c r="F12" s="64"/>
      <x:c r="G12" s="64"/>
      <x:c r="H12" s="68"/>
      <x:c r="I12" s="67" t="s">
        <x:v>29</x:v>
      </x:c>
      <x:c r="J12" s="64"/>
      <x:c r="K12" s="68"/>
      <x:c r="L12" s="69" t="s">
        <x:v>24</x:v>
      </x:c>
    </x:row>
    <x:row r="13" spans="1:12" ht="36.60000000000000142109" customHeight="1">
      <x:c r="A13" s="19" t="s">
        <x:v>6</x:v>
      </x:c>
      <x:c r="B13" s="20" t="s">
        <x:v>5</x:v>
      </x:c>
      <x:c r="C13" s="20" t="s">
        <x:v>43</x:v>
      </x:c>
      <x:c r="D13" s="20" t="s">
        <x:v>32</x:v>
      </x:c>
      <x:c r="E13" s="21" t="s">
        <x:v>7</x:v>
      </x:c>
      <x:c r="F13" s="22" t="s">
        <x:v>46</x:v>
      </x:c>
      <x:c r="G13" s="20" t="s">
        <x:v>35</x:v>
      </x:c>
      <x:c r="H13" s="20" t="s">
        <x:v>36</x:v>
      </x:c>
      <x:c r="I13" s="23" t="s">
        <x:v>28</x:v>
      </x:c>
      <x:c r="J13" s="39" t="s">
        <x:v>34</x:v>
      </x:c>
      <x:c r="K13" s="20" t="s">
        <x:v>37</x:v>
      </x:c>
      <x:c r="L13" s="70"/>
    </x:row>
    <x:row r="14" spans="1:12">
      <x:c r="A14" s="24">
        <x:f>(H4+H6+H8+H10)/20</x:f>
        <x:v>0</x:v>
      </x:c>
      <x:c r="B14" s="25" t="e">
        <x:f>IF(A14="","",VLOOKUP(A14,Sheet2!$A$1:$D$21,3,TRUE))</x:f>
        <x:v>#N/A</x:v>
      </x:c>
      <x:c r="C14" s="26" t="e">
        <x:f>SUM(I4:K4,I6:K6,I8:K8,I10:K10)/COUNTA(I3:K3,I5:K5,I7:K7,I9:K9)</x:f>
        <x:v>#DIV/0!</x:v>
      </x:c>
      <x:c r="D14" s="27" t="e">
        <x:f>B14+C14</x:f>
        <x:v>#N/A</x:v>
      </x:c>
      <x:c r="E14" s="41"/>
      <x:c r="F14" s="41"/>
      <x:c r="G14" s="28" t="str">
        <x:f>IF(OR(E14="",F14=""),"",INT((E14/3)+F14))</x:f>
        <x:v/>
      </x:c>
      <x:c r="H14" s="29" t="str">
        <x:f>IF(G14="","",VLOOKUP(G14,Sheet2!$G$2:$H$6,2,TRUE))</x:f>
        <x:v/>
      </x:c>
      <x:c r="I14" s="25">
        <x:v>15</x:v>
      </x:c>
      <x:c r="J14" s="54"/>
      <x:c r="K14" s="30" t="str">
        <x:f>IF(J14="","",VLOOKUP(J14,Sheet2!$J$1:$K$6,2,TRUE))</x:f>
        <x:v/>
      </x:c>
      <x:c r="L14" s="31" t="e">
        <x:f>IF(OR(D14="",H14="",K14=""),"",SUM(D14,H14,K14))</x:f>
        <x:v>#N/A</x:v>
      </x:c>
    </x:row>
    <x:row r="15" spans="1:13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"/>
      <x:c r="M15" s="1"/>
    </x:row>
    <x:row r="16" spans="1:13">
      <x:c r="A16" s="32" t="s">
        <x:v>1</x:v>
      </x:c>
      <x:c r="B16" s="32"/>
      <x:c r="C16" s="32"/>
      <x:c r="D16" s="32"/>
      <x:c r="E16" s="32"/>
      <x:c r="F16" s="32"/>
      <x:c r="G16" s="32"/>
      <x:c r="H16" s="32"/>
      <x:c r="I16" s="32"/>
      <x:c r="J16" s="32"/>
      <x:c r="K16" s="33"/>
      <x:c r="L16" s="1"/>
      <x:c r="M16" s="1"/>
    </x:row>
    <x:row r="17" spans="1:13">
      <x:c r="A17" s="71" t="s">
        <x:v>45</x:v>
      </x:c>
      <x:c r="B17" s="71"/>
      <x:c r="C17" s="32" t="s">
        <x:v>0</x:v>
      </x:c>
      <x:c r="D17" s="33"/>
      <x:c r="E17" s="33"/>
      <x:c r="F17" s="33"/>
      <x:c r="G17" s="33"/>
      <x:c r="H17" s="33"/>
      <x:c r="I17" s="33"/>
      <x:c r="J17" s="33"/>
      <x:c r="K17" s="33"/>
      <x:c r="L17" s="1"/>
      <x:c r="M17" s="1"/>
    </x:row>
    <x:row r="18" spans="1:13">
      <x:c r="A18" s="32"/>
      <x:c r="B18" s="32"/>
      <x:c r="C18" s="32" t="s">
        <x:v>8</x:v>
      </x:c>
      <x:c r="D18" s="33"/>
      <x:c r="E18" s="33"/>
      <x:c r="F18" s="33"/>
      <x:c r="G18" s="33"/>
      <x:c r="H18" s="33"/>
      <x:c r="I18" s="33"/>
      <x:c r="J18" s="33"/>
      <x:c r="K18" s="33"/>
      <x:c r="L18" s="1"/>
      <x:c r="M18" s="1"/>
    </x:row>
    <x:row r="19" spans="1:13">
      <x:c r="A19" s="32"/>
      <x:c r="B19" s="32"/>
      <x:c r="C19" s="40" t="s">
        <x:v>4</x:v>
      </x:c>
      <x:c r="D19" s="33"/>
      <x:c r="E19" s="33"/>
      <x:c r="F19" s="33"/>
      <x:c r="G19" s="33"/>
      <x:c r="H19" s="33"/>
      <x:c r="I19" s="33"/>
      <x:c r="J19" s="33"/>
      <x:c r="K19" s="33"/>
      <x:c r="L19" s="1"/>
      <x:c r="M19" s="1"/>
    </x:row>
    <x:row r="20" spans="1:13">
      <x:c r="A20" s="71" t="s">
        <x:v>44</x:v>
      </x:c>
      <x:c r="B20" s="71"/>
      <x:c r="C20" s="32" t="s">
        <x:v>23</x:v>
      </x:c>
      <x:c r="D20" s="33"/>
      <x:c r="E20" s="33"/>
      <x:c r="F20" s="33"/>
      <x:c r="G20" s="33"/>
      <x:c r="H20" s="33"/>
      <x:c r="I20" s="33"/>
      <x:c r="J20" s="33"/>
      <x:c r="K20" s="33"/>
      <x:c r="L20" s="1"/>
      <x:c r="M20" s="1"/>
    </x:row>
    <x:row r="21" spans="1:13">
      <x:c r="A21" s="32"/>
      <x:c r="B21" s="33"/>
      <x:c r="C21" s="32" t="s">
        <x:v>3</x:v>
      </x:c>
      <x:c r="D21" s="33"/>
      <x:c r="E21" s="33"/>
      <x:c r="F21" s="33"/>
      <x:c r="G21" s="33"/>
      <x:c r="H21" s="33"/>
      <x:c r="I21" s="33"/>
      <x:c r="J21" s="33"/>
      <x:c r="K21" s="33"/>
      <x:c r="L21" s="1"/>
      <x:c r="M21" s="1"/>
    </x:row>
    <x:row r="22" spans="1:13">
      <x:c r="A22" s="71" t="s">
        <x:v>47</x:v>
      </x:c>
      <x:c r="B22" s="71"/>
      <x:c r="C22" s="32" t="s">
        <x:v>2</x:v>
      </x:c>
      <x:c r="D22" s="33"/>
      <x:c r="E22" s="33"/>
      <x:c r="F22" s="33"/>
      <x:c r="G22" s="33"/>
      <x:c r="H22" s="33"/>
      <x:c r="I22" s="33"/>
      <x:c r="J22" s="33"/>
      <x:c r="K22" s="33"/>
      <x:c r="L22" s="1"/>
      <x:c r="M22" s="1"/>
    </x:row>
    <x:row r="23" spans="1:13">
      <x:c r="A23" s="33"/>
      <x:c r="B23" s="33"/>
      <x:c r="C23" s="32" t="s">
        <x:v>48</x:v>
      </x:c>
      <x:c r="D23" s="33"/>
      <x:c r="E23" s="33"/>
      <x:c r="F23" s="33"/>
      <x:c r="G23" s="33"/>
      <x:c r="H23" s="33"/>
      <x:c r="I23" s="33"/>
      <x:c r="J23" s="33"/>
      <x:c r="K23" s="33"/>
      <x:c r="L23" s="1"/>
      <x:c r="M23" s="1"/>
    </x:row>
  </x:sheetData>
  <x:sheetProtection sheet="1" objects="1" scenarios="1" formatCells="1" formatColumns="1" formatRows="1" insertColumns="1" insertRows="1" insertHyperlinks="1" deleteColumns="1" deleteRows="1" selectLockedCells="1" sort="1" autoFilter="1" pivotTables="1" selectUnlockedCells="0"/>
  <x:mergeCells count="12">
    <x:mergeCell ref="A1:K1"/>
    <x:mergeCell ref="A3:A4"/>
    <x:mergeCell ref="A5:A6"/>
    <x:mergeCell ref="A7:A8"/>
    <x:mergeCell ref="A9:A10"/>
    <x:mergeCell ref="A12:D12"/>
    <x:mergeCell ref="E12:H12"/>
    <x:mergeCell ref="I12:K12"/>
    <x:mergeCell ref="L12:L13"/>
    <x:mergeCell ref="A17:B17"/>
    <x:mergeCell ref="A20:B20"/>
    <x:mergeCell ref="A22:B22"/>
  </x:mergeCells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N23"/>
  <x:sheetViews>
    <x:sheetView tabSelected="1" topLeftCell="A1" zoomScale="140" zoomScaleNormal="140" zoomScaleSheetLayoutView="140" workbookViewId="0">
      <x:selection activeCell="J14" activeCellId="0" sqref="J14:J14"/>
    </x:sheetView>
  </x:sheetViews>
  <x:sheetFormatPr defaultColWidth="8.796875" defaultRowHeight="16.39999999999999857891"/>
  <x:cols>
    <x:col min="1" max="3" width="8.796875" style="49" bestFit="1" customWidth="1"/>
    <x:col min="4" max="4" width="8.796875" style="49"/>
    <x:col min="5" max="6" width="8.796875" style="49" bestFit="1" customWidth="1"/>
    <x:col min="7" max="7" width="8.796875" style="49"/>
    <x:col min="8" max="11" width="8.796875" style="49" bestFit="1" customWidth="1"/>
    <x:col min="12" max="16384" width="8.796875" style="49"/>
  </x:cols>
  <x:sheetData>
    <x:row r="1" spans="1:13" ht="20.64999999999999857891" customHeight="1">
      <x:c r="A1" s="58" t="s">
        <x:v>51</x:v>
      </x:c>
      <x:c r="B1" s="58"/>
      <x:c r="C1" s="58"/>
      <x:c r="D1" s="58"/>
      <x:c r="E1" s="58"/>
      <x:c r="F1" s="58"/>
      <x:c r="G1" s="58"/>
      <x:c r="H1" s="58"/>
      <x:c r="I1" s="58"/>
      <x:c r="J1" s="58"/>
      <x:c r="K1" s="59"/>
      <x:c r="L1" s="47"/>
      <x:c r="M1" s="47"/>
    </x:row>
    <x:row r="2" spans="1:13">
      <x:c r="A2" s="2" t="s">
        <x:v>22</x:v>
      </x:c>
      <x:c r="B2" s="3" t="s">
        <x:v>17</x:v>
      </x:c>
      <x:c r="C2" s="4" t="s">
        <x:v>18</x:v>
      </x:c>
      <x:c r="D2" s="4" t="s">
        <x:v>40</x:v>
      </x:c>
      <x:c r="E2" s="4" t="s">
        <x:v>11</x:v>
      </x:c>
      <x:c r="F2" s="4" t="s">
        <x:v>20</x:v>
      </x:c>
      <x:c r="G2" s="4" t="s">
        <x:v>15</x:v>
      </x:c>
      <x:c r="H2" s="5" t="s">
        <x:v>12</x:v>
      </x:c>
      <x:c r="I2" s="6" t="s">
        <x:v>13</x:v>
      </x:c>
      <x:c r="J2" s="4" t="s">
        <x:v>14</x:v>
      </x:c>
      <x:c r="K2" s="7" t="s">
        <x:v>19</x:v>
      </x:c>
      <x:c r="L2" s="47"/>
      <x:c r="M2" s="47"/>
    </x:row>
    <x:row r="3" spans="1:13" s="34" customFormat="1">
      <x:c r="A3" s="60" t="s">
        <x:v>49</x:v>
      </x:c>
      <x:c r="B3" s="8" t="s">
        <x:v>42</x:v>
      </x:c>
      <x:c r="C3" s="9"/>
      <x:c r="D3" s="9"/>
      <x:c r="E3" s="9"/>
      <x:c r="F3" s="9"/>
      <x:c r="G3" s="9"/>
      <x:c r="H3" s="10"/>
      <x:c r="I3" s="9"/>
      <x:c r="J3" s="9"/>
      <x:c r="K3" s="9"/>
      <x:c r="L3" s="47"/>
      <x:c r="M3" s="47"/>
    </x:row>
    <x:row r="4" spans="1:13" s="34" customFormat="1" ht="23.89999999999999857891">
      <x:c r="A4" s="61"/>
      <x:c r="B4" s="11" t="s">
        <x:v>33</x:v>
      </x:c>
      <x:c r="C4" s="12">
        <x:f>IF(C3="A",5,IF(C3="B",4,IF(C3="C",3,IF(C3="D",2,IF(C3="E",1,0)))))</x:f>
        <x:v>0</x:v>
      </x:c>
      <x:c r="D4" s="12">
        <x:f>IF(D3="A",5,IF(D3="B",4,IF(D3="C",3,IF(D3="D",2,IF(D3="E",1,0)))))</x:f>
        <x:v>0</x:v>
      </x:c>
      <x:c r="E4" s="12">
        <x:f>IF(E3="A",5,IF(E3="B",4,IF(E3="C",3,IF(E3="D",2,IF(E3="E",1,0)))))</x:f>
        <x:v>0</x:v>
      </x:c>
      <x:c r="F4" s="12">
        <x:f>IF(F3="A",5,IF(F3="B",4,IF(F3="C",3,IF(F3="D",2,IF(F3="E",1,0)))))</x:f>
        <x:v>0</x:v>
      </x:c>
      <x:c r="G4" s="12">
        <x:f>IF(G3="A",5,IF(G3="B",4,IF(G3="C",3,IF(G3="D",2,IF(G3="E",1,0)))))</x:f>
        <x:v>0</x:v>
      </x:c>
      <x:c r="H4" s="13">
        <x:f>SUM(C4:G4)</x:f>
        <x:v>0</x:v>
      </x:c>
      <x:c r="I4" s="14">
        <x:f>IF(I3="A",10,IF(I3="B",9,IF(I3="C",8,0)))</x:f>
        <x:v>0</x:v>
      </x:c>
      <x:c r="J4" s="12">
        <x:f>IF(J3="A",10,IF(J3="B",9,IF(J3="C",8,0)))</x:f>
        <x:v>0</x:v>
      </x:c>
      <x:c r="K4" s="15">
        <x:f>IF(K3="A",10,IF(K3="B",9,IF(K3="C",8,0)))</x:f>
        <x:v>0</x:v>
      </x:c>
      <x:c r="L4" s="47"/>
      <x:c r="M4" s="47"/>
    </x:row>
    <x:row r="5" spans="1:13">
      <x:c r="A5" s="60" t="s">
        <x:v>41</x:v>
      </x:c>
      <x:c r="B5" s="8" t="s">
        <x:v>42</x:v>
      </x:c>
      <x:c r="C5" s="9"/>
      <x:c r="D5" s="9"/>
      <x:c r="E5" s="9"/>
      <x:c r="F5" s="9"/>
      <x:c r="G5" s="9"/>
      <x:c r="H5" s="10"/>
      <x:c r="I5" s="9"/>
      <x:c r="J5" s="9"/>
      <x:c r="K5" s="9"/>
      <x:c r="L5" s="47"/>
      <x:c r="M5" s="47"/>
    </x:row>
    <x:row r="6" spans="1:14" ht="23.89999999999999857891">
      <x:c r="A6" s="61"/>
      <x:c r="B6" s="11" t="s">
        <x:v>33</x:v>
      </x:c>
      <x:c r="C6" s="12">
        <x:f>IF(C5="A",5,IF(C5="B",4,IF(C5="C",3,IF(C5="D",2,IF(C5="E",1,0)))))</x:f>
        <x:v>0</x:v>
      </x:c>
      <x:c r="D6" s="12">
        <x:f>IF(D5="A",5,IF(D5="B",4,IF(D5="C",3,IF(D5="D",2,IF(D5="E",1,0)))))</x:f>
        <x:v>0</x:v>
      </x:c>
      <x:c r="E6" s="12">
        <x:f>IF(E5="A",5,IF(E5="B",4,IF(E5="C",3,IF(E5="D",2,IF(E5="E",1,0)))))</x:f>
        <x:v>0</x:v>
      </x:c>
      <x:c r="F6" s="12">
        <x:f>IF(F5="A",5,IF(F5="B",4,IF(F5="C",3,IF(F5="D",2,IF(F5="E",1,0)))))</x:f>
        <x:v>0</x:v>
      </x:c>
      <x:c r="G6" s="12">
        <x:f>IF(G5="A",5,IF(G5="B",4,IF(G5="C",3,IF(G5="D",2,IF(G5="E",1,0)))))</x:f>
        <x:v>0</x:v>
      </x:c>
      <x:c r="H6" s="13">
        <x:f>SUM(C6:G6)</x:f>
        <x:v>0</x:v>
      </x:c>
      <x:c r="I6" s="14">
        <x:f>IF(I5="A",10,IF(I5="B",9,IF(I5="C",8,0)))</x:f>
        <x:v>0</x:v>
      </x:c>
      <x:c r="J6" s="12">
        <x:f>IF(J5="A",10,IF(J5="B",9,IF(J5="C",8,0)))</x:f>
        <x:v>0</x:v>
      </x:c>
      <x:c r="K6" s="15">
        <x:f>IF(K5="A",10,IF(K5="B",9,IF(K5="C",8,0)))</x:f>
        <x:v>0</x:v>
      </x:c>
      <x:c r="L6" s="47"/>
      <x:c r="M6" s="47"/>
      <x:c r="N6" s="50"/>
    </x:row>
    <x:row r="7" spans="1:13">
      <x:c r="A7" s="62" t="s">
        <x:v>38</x:v>
      </x:c>
      <x:c r="B7" s="16" t="s">
        <x:v>42</x:v>
      </x:c>
      <x:c r="C7" s="9"/>
      <x:c r="D7" s="9"/>
      <x:c r="E7" s="9"/>
      <x:c r="F7" s="9"/>
      <x:c r="G7" s="9"/>
      <x:c r="H7" s="17"/>
      <x:c r="I7" s="9"/>
      <x:c r="J7" s="9"/>
      <x:c r="K7" s="9"/>
      <x:c r="L7" s="47"/>
      <x:c r="M7" s="47"/>
    </x:row>
    <x:row r="8" spans="1:13" ht="23.89999999999999857891">
      <x:c r="A8" s="61"/>
      <x:c r="B8" s="11" t="s">
        <x:v>33</x:v>
      </x:c>
      <x:c r="C8" s="12">
        <x:f>IF(C7="A",5,IF(C7="B",4,IF(C7="C",3,IF(C7="D",2,IF(C7="E",1,0)))))</x:f>
        <x:v>0</x:v>
      </x:c>
      <x:c r="D8" s="12">
        <x:f>IF(D7="A",5,IF(D7="B",4,IF(D7="C",3,IF(D7="D",2,IF(D7="E",1,0)))))</x:f>
        <x:v>0</x:v>
      </x:c>
      <x:c r="E8" s="12">
        <x:f>IF(E7="A",5,IF(E7="B",4,IF(E7="C",3,IF(E7="D",2,IF(E7="E",1,0)))))</x:f>
        <x:v>0</x:v>
      </x:c>
      <x:c r="F8" s="12">
        <x:f>IF(F7="A",5,IF(F7="B",4,IF(F7="C",3,IF(F7="D",2,IF(F7="E",1,0)))))</x:f>
        <x:v>0</x:v>
      </x:c>
      <x:c r="G8" s="12">
        <x:f>IF(G7="A",5,IF(G7="B",4,IF(G7="C",3,IF(G7="D",2,IF(G7="E",1,0)))))</x:f>
        <x:v>0</x:v>
      </x:c>
      <x:c r="H8" s="13">
        <x:f>SUM(C8:G8)</x:f>
        <x:v>0</x:v>
      </x:c>
      <x:c r="I8" s="14">
        <x:f>IF(I7="A",10,IF(I7="B",9,IF(I7="C",8,0)))</x:f>
        <x:v>0</x:v>
      </x:c>
      <x:c r="J8" s="12">
        <x:f>IF(J7="A",10,IF(J7="B",9,IF(J7="C",8,0)))</x:f>
        <x:v>0</x:v>
      </x:c>
      <x:c r="K8" s="15">
        <x:f>IF(K7="A",10,IF(K7="B",9,IF(K7="C",8,0)))</x:f>
        <x:v>0</x:v>
      </x:c>
      <x:c r="L8" s="47"/>
      <x:c r="M8" s="47"/>
    </x:row>
    <x:row r="9" spans="1:13">
      <x:c r="A9" s="62" t="s">
        <x:v>26</x:v>
      </x:c>
      <x:c r="B9" s="16" t="s">
        <x:v>42</x:v>
      </x:c>
      <x:c r="C9" s="9"/>
      <x:c r="D9" s="9"/>
      <x:c r="E9" s="9"/>
      <x:c r="F9" s="9"/>
      <x:c r="G9" s="9"/>
      <x:c r="H9" s="17"/>
      <x:c r="I9" s="9"/>
      <x:c r="J9" s="9"/>
      <x:c r="K9" s="9"/>
      <x:c r="L9" s="47"/>
      <x:c r="M9" s="47"/>
    </x:row>
    <x:row r="10" spans="1:13" ht="24.30000000000000071054">
      <x:c r="A10" s="72"/>
      <x:c r="B10" s="42" t="s">
        <x:v>33</x:v>
      </x:c>
      <x:c r="C10" s="43">
        <x:f>IF(C9="A",5,IF(C9="B",4,IF(C9="C",3,IF(C9="D",2,IF(C9="E",1,0)))))</x:f>
        <x:v>0</x:v>
      </x:c>
      <x:c r="D10" s="43">
        <x:f>IF(D9="A",5,IF(D9="B",4,IF(D9="C",3,IF(D9="D",2,IF(D9="E",1,0)))))</x:f>
        <x:v>0</x:v>
      </x:c>
      <x:c r="E10" s="43">
        <x:f>IF(E9="A",5,IF(E9="B",4,IF(E9="C",3,IF(E9="D",2,IF(E9="E",1,0)))))</x:f>
        <x:v>0</x:v>
      </x:c>
      <x:c r="F10" s="43">
        <x:f>IF(F9="A",5,IF(F9="B",4,IF(F9="C",3,IF(F9="D",2,IF(F9="E",1,0)))))</x:f>
        <x:v>0</x:v>
      </x:c>
      <x:c r="G10" s="43">
        <x:f>IF(G9="A",5,IF(G9="B",4,IF(G9="C",3,IF(G9="D",2,IF(G9="E",1,0)))))</x:f>
        <x:v>0</x:v>
      </x:c>
      <x:c r="H10" s="44">
        <x:f>SUM(C10:G10)</x:f>
        <x:v>0</x:v>
      </x:c>
      <x:c r="I10" s="45">
        <x:f>IF(I9="A",10,IF(I9="B",9,IF(I9="C",8,0)))</x:f>
        <x:v>0</x:v>
      </x:c>
      <x:c r="J10" s="43">
        <x:f>IF(J9="A",10,IF(J9="B",9,IF(J9="C",8,0)))</x:f>
        <x:v>0</x:v>
      </x:c>
      <x:c r="K10" s="46">
        <x:f>IF(K9="A",10,IF(K9="B",9,IF(K9="C",8,0)))</x:f>
        <x:v>0</x:v>
      </x:c>
      <x:c r="L10" s="47"/>
      <x:c r="M10" s="47"/>
    </x:row>
    <x:row r="11" spans="1:13">
      <x:c r="A11" s="48"/>
      <x:c r="B11" s="48"/>
      <x:c r="C11" s="48"/>
      <x:c r="D11" s="48"/>
      <x:c r="E11" s="48"/>
      <x:c r="F11" s="48"/>
      <x:c r="G11" s="48"/>
      <x:c r="H11" s="48"/>
      <x:c r="I11" s="48"/>
      <x:c r="J11" s="48"/>
      <x:c r="K11" s="48"/>
      <x:c r="L11" s="47"/>
      <x:c r="M11" s="47"/>
    </x:row>
    <x:row r="12" spans="1:12" ht="20.64999999999999857891" customHeight="1">
      <x:c r="A12" s="63" t="s">
        <x:v>27</x:v>
      </x:c>
      <x:c r="B12" s="64"/>
      <x:c r="C12" s="65"/>
      <x:c r="D12" s="66"/>
      <x:c r="E12" s="67" t="s">
        <x:v>30</x:v>
      </x:c>
      <x:c r="F12" s="64"/>
      <x:c r="G12" s="64"/>
      <x:c r="H12" s="68"/>
      <x:c r="I12" s="67" t="s">
        <x:v>29</x:v>
      </x:c>
      <x:c r="J12" s="64"/>
      <x:c r="K12" s="68"/>
      <x:c r="L12" s="69" t="s">
        <x:v>24</x:v>
      </x:c>
    </x:row>
    <x:row r="13" spans="1:12" ht="36.60000000000000142109" customHeight="1">
      <x:c r="A13" s="19" t="s">
        <x:v>6</x:v>
      </x:c>
      <x:c r="B13" s="20" t="s">
        <x:v>5</x:v>
      </x:c>
      <x:c r="C13" s="20" t="s">
        <x:v>43</x:v>
      </x:c>
      <x:c r="D13" s="20" t="s">
        <x:v>32</x:v>
      </x:c>
      <x:c r="E13" s="21" t="s">
        <x:v>7</x:v>
      </x:c>
      <x:c r="F13" s="22" t="s">
        <x:v>46</x:v>
      </x:c>
      <x:c r="G13" s="20" t="s">
        <x:v>35</x:v>
      </x:c>
      <x:c r="H13" s="20" t="s">
        <x:v>36</x:v>
      </x:c>
      <x:c r="I13" s="23" t="s">
        <x:v>28</x:v>
      </x:c>
      <x:c r="J13" s="39" t="s">
        <x:v>34</x:v>
      </x:c>
      <x:c r="K13" s="20" t="s">
        <x:v>37</x:v>
      </x:c>
      <x:c r="L13" s="70"/>
    </x:row>
    <x:row r="14" spans="1:12">
      <x:c r="A14" s="24">
        <x:f>(H4+H6+H8+H10)/20</x:f>
        <x:v>0</x:v>
      </x:c>
      <x:c r="B14" s="25" t="e">
        <x:f>IF(A14="","",VLOOKUP(A14,Sheet2!$A$1:$D$21,4,TRUE))</x:f>
        <x:v>#N/A</x:v>
      </x:c>
      <x:c r="C14" s="26" t="e">
        <x:f>SUM(I4:K4,I6:K6,I8:K8,I10:K10)/COUNTA(I3:K3,I5:K5,I7:K7,I9:K9)</x:f>
        <x:v>#DIV/0!</x:v>
      </x:c>
      <x:c r="D14" s="27" t="e">
        <x:f>B14+C14</x:f>
        <x:v>#N/A</x:v>
      </x:c>
      <x:c r="E14" s="41"/>
      <x:c r="F14" s="41"/>
      <x:c r="G14" s="28" t="str">
        <x:f>IF(OR(E14="",F14=""),"",INT((E14/3)+F14))</x:f>
        <x:v/>
      </x:c>
      <x:c r="H14" s="29" t="str">
        <x:f>IF(G14="","",VLOOKUP(G14,Sheet2!$G$2:$H$6,2,TRUE))</x:f>
        <x:v/>
      </x:c>
      <x:c r="I14" s="25">
        <x:v>15</x:v>
      </x:c>
      <x:c r="J14" s="54"/>
      <x:c r="K14" s="30" t="str">
        <x:f>IF(J14="","",VLOOKUP(J14,Sheet2!$J$1:$K$6,2,TRUE))</x:f>
        <x:v/>
      </x:c>
      <x:c r="L14" s="31" t="e">
        <x:f>IF(OR(D14="",H14="",K14=""),"",SUM(D14,H14,K14))</x:f>
        <x:v>#N/A</x:v>
      </x:c>
    </x:row>
    <x:row r="15" spans="1:13">
      <x:c r="A15" s="48"/>
      <x:c r="B15" s="48"/>
      <x:c r="C15" s="48"/>
      <x:c r="D15" s="48"/>
      <x:c r="E15" s="48"/>
      <x:c r="F15" s="48"/>
      <x:c r="G15" s="48"/>
      <x:c r="H15" s="48"/>
      <x:c r="I15" s="48"/>
      <x:c r="J15" s="48"/>
      <x:c r="K15" s="48"/>
      <x:c r="L15" s="47"/>
      <x:c r="M15" s="47"/>
    </x:row>
    <x:row r="16" spans="1:13">
      <x:c r="A16" s="51" t="s">
        <x:v>1</x:v>
      </x:c>
      <x:c r="B16" s="51"/>
      <x:c r="C16" s="51"/>
      <x:c r="D16" s="51"/>
      <x:c r="E16" s="51"/>
      <x:c r="F16" s="51"/>
      <x:c r="G16" s="51"/>
      <x:c r="H16" s="51"/>
      <x:c r="I16" s="51"/>
      <x:c r="J16" s="51"/>
      <x:c r="K16" s="52"/>
      <x:c r="L16" s="47"/>
      <x:c r="M16" s="47"/>
    </x:row>
    <x:row r="17" spans="1:13">
      <x:c r="A17" s="73" t="s">
        <x:v>45</x:v>
      </x:c>
      <x:c r="B17" s="73"/>
      <x:c r="C17" s="51" t="s">
        <x:v>0</x:v>
      </x:c>
      <x:c r="D17" s="52"/>
      <x:c r="E17" s="52"/>
      <x:c r="F17" s="52"/>
      <x:c r="G17" s="52"/>
      <x:c r="H17" s="52"/>
      <x:c r="I17" s="52"/>
      <x:c r="J17" s="52"/>
      <x:c r="K17" s="52"/>
      <x:c r="L17" s="47"/>
      <x:c r="M17" s="47"/>
    </x:row>
    <x:row r="18" spans="1:13">
      <x:c r="A18" s="51"/>
      <x:c r="B18" s="51"/>
      <x:c r="C18" s="51" t="s">
        <x:v>8</x:v>
      </x:c>
      <x:c r="D18" s="52"/>
      <x:c r="E18" s="52"/>
      <x:c r="F18" s="52"/>
      <x:c r="G18" s="52"/>
      <x:c r="H18" s="52"/>
      <x:c r="I18" s="52"/>
      <x:c r="J18" s="52"/>
      <x:c r="K18" s="52"/>
      <x:c r="L18" s="47"/>
      <x:c r="M18" s="47"/>
    </x:row>
    <x:row r="19" spans="1:13">
      <x:c r="A19" s="51"/>
      <x:c r="B19" s="51"/>
      <x:c r="C19" s="53" t="s">
        <x:v>4</x:v>
      </x:c>
      <x:c r="D19" s="52"/>
      <x:c r="E19" s="52"/>
      <x:c r="F19" s="52"/>
      <x:c r="G19" s="52"/>
      <x:c r="H19" s="52"/>
      <x:c r="I19" s="52"/>
      <x:c r="J19" s="52"/>
      <x:c r="K19" s="52"/>
      <x:c r="L19" s="47"/>
      <x:c r="M19" s="47"/>
    </x:row>
    <x:row r="20" spans="1:13">
      <x:c r="A20" s="73" t="s">
        <x:v>44</x:v>
      </x:c>
      <x:c r="B20" s="73"/>
      <x:c r="C20" s="51" t="s">
        <x:v>23</x:v>
      </x:c>
      <x:c r="D20" s="52"/>
      <x:c r="E20" s="52"/>
      <x:c r="F20" s="52"/>
      <x:c r="G20" s="52"/>
      <x:c r="H20" s="52"/>
      <x:c r="I20" s="52"/>
      <x:c r="J20" s="52"/>
      <x:c r="K20" s="52"/>
      <x:c r="L20" s="47"/>
      <x:c r="M20" s="47"/>
    </x:row>
    <x:row r="21" spans="1:13">
      <x:c r="A21" s="51"/>
      <x:c r="B21" s="52"/>
      <x:c r="C21" s="51" t="s">
        <x:v>3</x:v>
      </x:c>
      <x:c r="D21" s="52"/>
      <x:c r="E21" s="52"/>
      <x:c r="F21" s="52"/>
      <x:c r="G21" s="52"/>
      <x:c r="H21" s="52"/>
      <x:c r="I21" s="52"/>
      <x:c r="J21" s="52"/>
      <x:c r="K21" s="52"/>
      <x:c r="L21" s="47"/>
      <x:c r="M21" s="47"/>
    </x:row>
    <x:row r="22" spans="1:13">
      <x:c r="A22" s="73" t="s">
        <x:v>47</x:v>
      </x:c>
      <x:c r="B22" s="73"/>
      <x:c r="C22" s="51" t="s">
        <x:v>2</x:v>
      </x:c>
      <x:c r="D22" s="52"/>
      <x:c r="E22" s="52"/>
      <x:c r="F22" s="52"/>
      <x:c r="G22" s="52"/>
      <x:c r="H22" s="52"/>
      <x:c r="I22" s="52"/>
      <x:c r="J22" s="52"/>
      <x:c r="K22" s="52"/>
      <x:c r="L22" s="47"/>
      <x:c r="M22" s="47"/>
    </x:row>
    <x:row r="23" spans="1:13">
      <x:c r="A23" s="52"/>
      <x:c r="B23" s="52"/>
      <x:c r="C23" s="51" t="s">
        <x:v>48</x:v>
      </x:c>
      <x:c r="D23" s="52"/>
      <x:c r="E23" s="52"/>
      <x:c r="F23" s="52"/>
      <x:c r="G23" s="52"/>
      <x:c r="H23" s="52"/>
      <x:c r="I23" s="52"/>
      <x:c r="J23" s="52"/>
      <x:c r="K23" s="52"/>
      <x:c r="L23" s="47"/>
      <x:c r="M23" s="47"/>
    </x:row>
  </x:sheetData>
  <x:sheetProtection sheet="1" objects="1" scenarios="1" formatCells="1" formatColumns="1" formatRows="1" insertColumns="1" insertRows="1" insertHyperlinks="1" deleteColumns="1" deleteRows="1" selectLockedCells="1" sort="1" autoFilter="1" pivotTables="1" selectUnlockedCells="0"/>
  <x:mergeCells count="12">
    <x:mergeCell ref="A1:K1"/>
    <x:mergeCell ref="A3:A4"/>
    <x:mergeCell ref="A5:A6"/>
    <x:mergeCell ref="A7:A8"/>
    <x:mergeCell ref="A9:A10"/>
    <x:mergeCell ref="A12:D12"/>
    <x:mergeCell ref="E12:H12"/>
    <x:mergeCell ref="I12:K12"/>
    <x:mergeCell ref="L12:L13"/>
    <x:mergeCell ref="A17:B17"/>
    <x:mergeCell ref="A20:B20"/>
    <x:mergeCell ref="A22:B22"/>
  </x:mergeCells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K21"/>
  <x:sheetViews>
    <x:sheetView topLeftCell="A1" zoomScaleNormal="100" zoomScaleSheetLayoutView="100" workbookViewId="0">
      <x:selection activeCell="F16" activeCellId="0" sqref="F16:F16"/>
    </x:sheetView>
  </x:sheetViews>
  <x:sheetFormatPr defaultColWidth="8.796875" defaultRowHeight="16.39999999999999857891"/>
  <x:cols>
    <x:col min="1" max="1" width="16.296875" customWidth="1"/>
    <x:col min="3" max="3" width="8.796875" bestFit="1" customWidth="1"/>
    <x:col min="7" max="12" width="8.796875" bestFit="1" customWidth="1"/>
  </x:cols>
  <x:sheetData>
    <x:row r="1" spans="1:11">
      <x:c r="A1" s="35" t="s">
        <x:v>21</x:v>
      </x:c>
      <x:c r="B1" s="35" t="s">
        <x:v>39</x:v>
      </x:c>
      <x:c r="C1" s="35" t="s">
        <x:v>19</x:v>
      </x:c>
      <x:c r="D1" s="35" t="s">
        <x:v>10</x:v>
      </x:c>
      <x:c r="G1" s="35" t="s">
        <x:v>16</x:v>
      </x:c>
      <x:c r="H1" s="35" t="s">
        <x:v>25</x:v>
      </x:c>
      <x:c r="J1" s="35" t="s">
        <x:v>31</x:v>
      </x:c>
      <x:c r="K1" s="35" t="s">
        <x:v>37</x:v>
      </x:c>
    </x:row>
    <x:row r="2" spans="1:11">
      <x:c r="A2" s="36">
        <x:v>1</x:v>
      </x:c>
      <x:c r="B2" s="37">
        <x:v>40</x:v>
      </x:c>
      <x:c r="C2" s="38">
        <x:v>103</x:v>
      </x:c>
      <x:c r="D2" s="37">
        <x:v>80</x:v>
      </x:c>
      <x:c r="G2" s="35">
        <x:v>0</x:v>
      </x:c>
      <x:c r="H2" s="35">
        <x:v>20</x:v>
      </x:c>
      <x:c r="J2" s="35">
        <x:v>0</x:v>
      </x:c>
      <x:c r="K2" s="35">
        <x:v>16</x:v>
      </x:c>
    </x:row>
    <x:row r="3" spans="1:11">
      <x:c r="A3" s="36">
        <x:v>2.0009999999999999</x:v>
      </x:c>
      <x:c r="B3" s="37">
        <x:v>46</x:v>
      </x:c>
      <x:c r="C3" s="38">
        <x:v>111</x:v>
      </x:c>
      <x:c r="D3" s="37">
        <x:v>86</x:v>
      </x:c>
      <x:c r="G3" s="35">
        <x:v>1</x:v>
      </x:c>
      <x:c r="H3" s="35">
        <x:v>19</x:v>
      </x:c>
      <x:c r="J3" s="35">
        <x:v>12</x:v>
      </x:c>
      <x:c r="K3" s="35">
        <x:v>17</x:v>
      </x:c>
    </x:row>
    <x:row r="4" spans="1:11">
      <x:c r="A4" s="36">
        <x:v>2.2509999999999999</x:v>
      </x:c>
      <x:c r="B4" s="37">
        <x:v>52</x:v>
      </x:c>
      <x:c r="C4" s="38">
        <x:v>119</x:v>
      </x:c>
      <x:c r="D4" s="37">
        <x:v>92</x:v>
      </x:c>
      <x:c r="G4" s="35">
        <x:v>2</x:v>
      </x:c>
      <x:c r="H4" s="35">
        <x:v>18</x:v>
      </x:c>
      <x:c r="J4" s="35">
        <x:v>13</x:v>
      </x:c>
      <x:c r="K4" s="35">
        <x:v>18</x:v>
      </x:c>
    </x:row>
    <x:row r="5" spans="1:11">
      <x:c r="A5" s="36">
        <x:v>2.5009999999999999</x:v>
      </x:c>
      <x:c r="B5" s="37">
        <x:v>58</x:v>
      </x:c>
      <x:c r="C5" s="38">
        <x:v>127</x:v>
      </x:c>
      <x:c r="D5" s="37">
        <x:v>98</x:v>
      </x:c>
      <x:c r="G5" s="35">
        <x:v>3</x:v>
      </x:c>
      <x:c r="H5" s="35">
        <x:v>17</x:v>
      </x:c>
      <x:c r="J5" s="35">
        <x:v>14</x:v>
      </x:c>
      <x:c r="K5" s="35">
        <x:v>19</x:v>
      </x:c>
    </x:row>
    <x:row r="6" spans="1:11">
      <x:c r="A6" s="36">
        <x:v>2.7509999999999999</x:v>
      </x:c>
      <x:c r="B6" s="37">
        <x:v>64</x:v>
      </x:c>
      <x:c r="C6" s="38">
        <x:v>134</x:v>
      </x:c>
      <x:c r="D6" s="37">
        <x:v>104</x:v>
      </x:c>
      <x:c r="G6" s="35">
        <x:v>4</x:v>
      </x:c>
      <x:c r="H6" s="35">
        <x:v>16</x:v>
      </x:c>
      <x:c r="J6" s="35">
        <x:v>15</x:v>
      </x:c>
      <x:c r="K6" s="35">
        <x:v>20</x:v>
      </x:c>
    </x:row>
    <x:row r="7" spans="1:4">
      <x:c r="A7" s="36">
        <x:v>3.0009999999999999</x:v>
      </x:c>
      <x:c r="B7" s="37">
        <x:v>69</x:v>
      </x:c>
      <x:c r="C7" s="38">
        <x:v>141</x:v>
      </x:c>
      <x:c r="D7" s="37">
        <x:v>109</x:v>
      </x:c>
    </x:row>
    <x:row r="8" spans="1:4">
      <x:c r="A8" s="36">
        <x:v>3.2509999999999999</x:v>
      </x:c>
      <x:c r="B8" s="37">
        <x:v>74</x:v>
      </x:c>
      <x:c r="C8" s="38">
        <x:v>147</x:v>
      </x:c>
      <x:c r="D8" s="37">
        <x:v>114</x:v>
      </x:c>
    </x:row>
    <x:row r="9" spans="1:4">
      <x:c r="A9" s="36">
        <x:v>3.5009999999999999</x:v>
      </x:c>
      <x:c r="B9" s="37">
        <x:v>78</x:v>
      </x:c>
      <x:c r="C9" s="38">
        <x:v>153</x:v>
      </x:c>
      <x:c r="D9" s="37">
        <x:v>118</x:v>
      </x:c>
    </x:row>
    <x:row r="10" spans="1:4">
      <x:c r="A10" s="36">
        <x:v>3.7509999999999999</x:v>
      </x:c>
      <x:c r="B10" s="37">
        <x:v>82</x:v>
      </x:c>
      <x:c r="C10" s="38">
        <x:v>158</x:v>
      </x:c>
      <x:c r="D10" s="37">
        <x:v>122</x:v>
      </x:c>
    </x:row>
    <x:row r="11" spans="1:4">
      <x:c r="A11" s="36">
        <x:v>4.0010000000000003</x:v>
      </x:c>
      <x:c r="B11" s="37">
        <x:v>86</x:v>
      </x:c>
      <x:c r="C11" s="38">
        <x:v>163</x:v>
      </x:c>
      <x:c r="D11" s="37">
        <x:v>126</x:v>
      </x:c>
    </x:row>
    <x:row r="12" spans="1:4">
      <x:c r="A12" s="36">
        <x:v>4.101</x:v>
      </x:c>
      <x:c r="B12" s="37">
        <x:v>90</x:v>
      </x:c>
      <x:c r="C12" s="38">
        <x:v>168</x:v>
      </x:c>
      <x:c r="D12" s="37">
        <x:v>130</x:v>
      </x:c>
    </x:row>
    <x:row r="13" spans="1:4">
      <x:c r="A13" s="36">
        <x:v>4.2009999999999996</x:v>
      </x:c>
      <x:c r="B13" s="37">
        <x:v>93</x:v>
      </x:c>
      <x:c r="C13" s="38">
        <x:v>172</x:v>
      </x:c>
      <x:c r="D13" s="37">
        <x:v>133</x:v>
      </x:c>
    </x:row>
    <x:row r="14" spans="1:4">
      <x:c r="A14" s="36">
        <x:v>4.3010000000000002</x:v>
      </x:c>
      <x:c r="B14" s="37">
        <x:v>96</x:v>
      </x:c>
      <x:c r="C14" s="38">
        <x:v>176</x:v>
      </x:c>
      <x:c r="D14" s="37">
        <x:v>136</x:v>
      </x:c>
    </x:row>
    <x:row r="15" spans="1:4">
      <x:c r="A15" s="36">
        <x:v>4.4009999999999998</x:v>
      </x:c>
      <x:c r="B15" s="37">
        <x:v>99</x:v>
      </x:c>
      <x:c r="C15" s="38">
        <x:v>179</x:v>
      </x:c>
      <x:c r="D15" s="37">
        <x:v>139</x:v>
      </x:c>
    </x:row>
    <x:row r="16" spans="1:4">
      <x:c r="A16" s="36">
        <x:v>4.5010000000000003</x:v>
      </x:c>
      <x:c r="B16" s="37">
        <x:v>102</x:v>
      </x:c>
      <x:c r="C16" s="38">
        <x:v>182</x:v>
      </x:c>
      <x:c r="D16" s="37">
        <x:v>142</x:v>
      </x:c>
    </x:row>
    <x:row r="17" spans="1:4">
      <x:c r="A17" s="36">
        <x:v>4.601</x:v>
      </x:c>
      <x:c r="B17" s="37">
        <x:v>104</x:v>
      </x:c>
      <x:c r="C17" s="38">
        <x:v>184</x:v>
      </x:c>
      <x:c r="D17" s="37">
        <x:v>144</x:v>
      </x:c>
    </x:row>
    <x:row r="18" spans="1:4">
      <x:c r="A18" s="36">
        <x:v>4.7009999999999996</x:v>
      </x:c>
      <x:c r="B18" s="37">
        <x:v>106</x:v>
      </x:c>
      <x:c r="C18" s="38">
        <x:v>186</x:v>
      </x:c>
      <x:c r="D18" s="37">
        <x:v>146</x:v>
      </x:c>
    </x:row>
    <x:row r="19" spans="1:4">
      <x:c r="A19" s="36">
        <x:v>4.8010000000000002</x:v>
      </x:c>
      <x:c r="B19" s="37">
        <x:v>108</x:v>
      </x:c>
      <x:c r="C19" s="38">
        <x:v>188</x:v>
      </x:c>
      <x:c r="D19" s="37">
        <x:v>148</x:v>
      </x:c>
    </x:row>
    <x:row r="20" spans="1:4">
      <x:c r="A20" s="36">
        <x:v>4.9009999999999998</x:v>
      </x:c>
      <x:c r="B20" s="37">
        <x:v>109</x:v>
      </x:c>
      <x:c r="C20" s="38">
        <x:v>189</x:v>
      </x:c>
      <x:c r="D20" s="37">
        <x:v>149</x:v>
      </x:c>
    </x:row>
    <x:row r="21" spans="1:4">
      <x:c r="A21" s="36">
        <x:v>4.9509999999999996</x:v>
      </x:c>
      <x:c r="B21" s="37">
        <x:v>110</x:v>
      </x:c>
      <x:c r="C21" s="38">
        <x:v>190</x:v>
      </x:c>
      <x:c r="D21" s="37">
        <x:v>150</x:v>
      </x:c>
    </x:row>
  </x:sheetData>
  <x:sortState columnSort="0" caseSensitive="0" ref="B2:E21">
    <x:sortCondition descending="0" sortBy="value" ref="B2:B21"/>
  </x:sortState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4" baseType="lpstr">
      <vt:lpstr>음악연영</vt:lpstr>
      <vt:lpstr>미술</vt:lpstr>
      <vt:lpstr>만화애니</vt:lpstr>
      <vt:lpstr>Sheet2</vt:lpstr>
    </vt:vector>
  </ep:TitlesOfParts>
  <ep:TotalTime>78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58</cp:revision>
  <dcterms:created xsi:type="dcterms:W3CDTF">2026-04-03T03:42:57.485</dcterms:created>
  <dcterms:modified xsi:type="dcterms:W3CDTF">2026-07-01T02:12:49.943</dcterms:modified>
  <cp:version>1300.0100.01</cp:version>
</cp:coreProperties>
</file>